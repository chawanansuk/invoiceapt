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วิธีใช้" sheetId="1" state="visible" r:id="rId1"/>
    <sheet name="บันทึกค่าน้ำไฟ" sheetId="2" state="visible" r:id="rId2"/>
    <sheet name="ใบแจ้งหนี้" sheetId="3" state="visible" r:id="rId3"/>
    <sheet name="ผู้เช่า" sheetId="4" state="visible" r:id="rId4"/>
  </sheets>
  <definedNames>
    <definedName name="_xlnm.Print_Area" localSheetId="2">'ใบแจ้งหนี้'!$A$1:$H$28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color rgb="00000000"/>
      <sz val="10"/>
    </font>
    <font>
      <name val="Tahoma"/>
      <b val="1"/>
      <color rgb="00000000"/>
      <sz val="11"/>
    </font>
    <font>
      <name val="Tahoma"/>
      <b val="1"/>
      <color rgb="00C00000"/>
      <sz val="11"/>
    </font>
    <font>
      <name val="Tahoma"/>
      <b val="1"/>
      <color rgb="00C00000"/>
      <sz val="10"/>
    </font>
    <font>
      <name val="Tahoma"/>
      <b val="1"/>
      <color rgb="00FFFFFF"/>
      <sz val="10"/>
    </font>
    <font>
      <name val="Tahoma"/>
      <b val="1"/>
      <color rgb="00375623"/>
      <sz val="10"/>
    </font>
    <font>
      <name val="Tahoma"/>
      <b val="1"/>
      <color rgb="00C00000"/>
      <sz val="16"/>
    </font>
    <font>
      <name val="Tahoma"/>
      <color rgb="00C00000"/>
      <sz val="9"/>
    </font>
    <font>
      <name val="Tahoma"/>
      <b val="1"/>
      <color rgb="00000000"/>
      <sz val="22"/>
    </font>
    <font>
      <name val="Tahoma"/>
      <b val="1"/>
      <color rgb="00000000"/>
      <sz val="13"/>
    </font>
    <font>
      <name val="Tahoma"/>
      <b val="1"/>
      <color rgb="00000000"/>
      <sz val="10"/>
    </font>
    <font>
      <name val="Tahoma"/>
      <color rgb="00000000"/>
      <sz val="9"/>
    </font>
    <font>
      <name val="Tahoma"/>
      <b val="1"/>
      <color rgb="00000000"/>
      <sz val="12"/>
    </font>
    <font>
      <name val="Tahoma"/>
      <color rgb="00595959"/>
      <sz val="9"/>
    </font>
    <font>
      <name val="Tahoma"/>
      <b val="1"/>
      <color rgb="00375623"/>
      <sz val="13"/>
    </font>
    <font>
      <name val="Tahoma"/>
      <b val="1"/>
      <color rgb="002F5496"/>
      <sz val="16"/>
    </font>
    <font>
      <name val="Tahoma"/>
      <b val="1"/>
      <color rgb="00C00000"/>
      <sz val="13"/>
    </font>
    <font>
      <name val="Tahoma"/>
      <color rgb="00000000"/>
      <sz val="12"/>
    </font>
    <font>
      <name val="Tahoma"/>
      <color rgb="00595959"/>
      <sz val="10"/>
    </font>
    <font>
      <name val="Tahoma"/>
      <color rgb="00000000"/>
      <sz val="8"/>
    </font>
    <font>
      <name val="Tahoma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FF9E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7" fillId="0" borderId="0" pivotButton="0" quotePrefix="0" xfId="0"/>
    <xf numFmtId="0" fontId="18" fillId="7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3" fontId="2" fillId="5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0" fillId="2" borderId="1" pivotButton="0" quotePrefix="0" xfId="0"/>
    <xf numFmtId="0" fontId="0" fillId="0" borderId="1" pivotButton="0" quotePrefix="0" xfId="0"/>
    <xf numFmtId="3" fontId="2" fillId="0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3" fontId="1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>
      <c r="B2" s="1" t="inlineStr">
        <is>
          <t>วิธีใช้ระบบออกใบแจ้งหนี้  (อพาร์ทเม้นท์ มั่งมีทวีสุข)</t>
        </is>
      </c>
    </row>
    <row r="4" ht="24" customHeight="1">
      <c r="B4" s="2" t="inlineStr">
        <is>
          <t>ทำทุกเดือน — แค่ 3 ขั้นตอน</t>
        </is>
      </c>
    </row>
    <row r="5" ht="24" customHeight="1">
      <c r="B5" s="3" t="inlineStr">
        <is>
          <t>ขั้นที่ 1   ไปที่ชีต "บันทึกค่าน้ำไฟ"  →  กรอกเฉพาะ "ช่องสีเหลือง" คือ  ไฟ-เลขใหม่  และ  น้ำ-เลขใหม่  ของแต่ละห้อง</t>
        </is>
      </c>
    </row>
    <row r="6" ht="24" customHeight="1">
      <c r="B6" s="4" t="inlineStr">
        <is>
          <t xml:space="preserve">              (ค่าไฟ ค่าน้ำ และยอดรวม ระบบคำนวณให้เองอัตโนมัติ รวมถึงค่าน้ำขั้นต่ำ 100 บาท — ไม่ต้องคิดเลขเอง)</t>
        </is>
      </c>
    </row>
    <row r="7" ht="24" customHeight="1">
      <c r="B7" s="3" t="inlineStr">
        <is>
          <t>ขั้นที่ 2   แก้ "เดือนที่แจ้งหนี้" และ "เดือนค่าน้ำ-ไฟ" ที่มุมบนของชีต ให้ตรงกับเดือนปัจจุบัน</t>
        </is>
      </c>
    </row>
    <row r="8" ht="24" customHeight="1">
      <c r="B8" s="3" t="inlineStr">
        <is>
          <t>ขั้นที่ 3   ไปที่ชีต "ใบแจ้งหนี้"  →  เลือกห้องจากช่องสีเหลืองมุมขวา  →  ข้อมูลขึ้นครบทันที  →  กด Ctrl+P เพื่อพิมพ์ หรือบันทึกเป็น PDF</t>
        </is>
      </c>
    </row>
    <row r="9" ht="8" customHeight="1">
      <c r="B9" s="5" t="inlineStr"/>
    </row>
    <row r="10" ht="24" customHeight="1">
      <c r="B10" s="2" t="inlineStr">
        <is>
          <t>สิ้นเดือน (เริ่มเดือนใหม่)</t>
        </is>
      </c>
    </row>
    <row r="11" ht="24" customHeight="1">
      <c r="B11" s="6" t="inlineStr">
        <is>
          <t>ในชีต "บันทึกค่าน้ำไฟ" :  เลือกตัวเลขทั้งคอลัมน์ "เลขใหม่" (ทั้งไฟและน้ำ)  →  Copy  →  คลิกขวาที่ "เลขเก่า"  →  วางแบบ "ค่า (Values / 123)"</t>
        </is>
      </c>
    </row>
    <row r="12" ht="24" customHeight="1">
      <c r="B12" s="6" t="inlineStr">
        <is>
          <t>จากนั้นลบตัวเลขในคอลัมน์ "เลขใหม่" ออก  เพื่อเริ่มกรอกของเดือนถัดไป</t>
        </is>
      </c>
    </row>
    <row r="13" ht="8" customHeight="1">
      <c r="B13" s="5" t="inlineStr"/>
    </row>
    <row r="14" ht="24" customHeight="1">
      <c r="B14" s="2" t="inlineStr">
        <is>
          <t>ข้อควรรู้</t>
        </is>
      </c>
    </row>
    <row r="15" ht="24" customHeight="1">
      <c r="B15" s="6" t="inlineStr">
        <is>
          <t>• สีเหลือง = พนักงานกรอกเอง    สีเทา = ระบบคำนวณอัตโนมัติ (ห้ามแก้ จะทำให้สูตรเสีย)</t>
        </is>
      </c>
    </row>
    <row r="16" ht="24" customHeight="1">
      <c r="B16" s="6" t="inlineStr">
        <is>
          <t>• แก้ข้อมูลผู้เช่า / ค่าเช่า / ค่าส่วนกลาง / เรทค่าน้ำ-ไฟ / ค่าน้ำขั้นต่ำ  ได้ที่ชีต "ผู้เช่า"</t>
        </is>
      </c>
    </row>
    <row r="17" ht="24" customHeight="1">
      <c r="B17" s="6" t="inlineStr">
        <is>
          <t>• เพิ่มผู้เช่าใหม่: พิมพ์ข้อมูลต่อท้ายในชีต "ผู้เช่า" แล้วเพิ่มแถวห้องนั้นในชีต "บันทึกค่าน้ำไฟ" (ก๊อปสูตรจากแถวบน)</t>
        </is>
      </c>
    </row>
    <row r="18" ht="24" customHeight="1">
      <c r="B18" s="4" t="inlineStr">
        <is>
          <t>• กรณีเปลี่ยนมิเตอร์ (เลขใหม่น้อยกว่าเลขเก่า): ให้ใส่จำนวนหน่วยที่ใช้จริงผ่านช่อง "อื่นๆ" หรือปรับเลขเก่าให้ถูกต้องเอง</t>
        </is>
      </c>
    </row>
    <row r="19" ht="24" customHeight="1">
      <c r="B19" s="4" t="inlineStr">
        <is>
          <t>• ยอดเงินเป็นตัวหนังสือ (บาทถ้วน) ใช้ฟังก์ชัน BAHTTEXT ของ Excel ภาษาไทย — หากขึ้น #NAME? แปลว่าเครื่องนั้นไม่ใช่ Excel ภาษาไทย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9" customWidth="1" min="3" max="3"/>
    <col width="9" customWidth="1" min="4" max="4"/>
    <col width="11" customWidth="1" min="5" max="5"/>
    <col width="11" customWidth="1" min="6" max="6"/>
    <col width="8" customWidth="1" min="7" max="7"/>
    <col width="9" customWidth="1" min="8" max="8"/>
    <col width="11" customWidth="1" min="9" max="9"/>
    <col width="11" customWidth="1" min="10" max="10"/>
    <col width="8" customWidth="1" min="11" max="11"/>
    <col width="9" customWidth="1" min="12" max="12"/>
    <col width="9" customWidth="1" min="13" max="13"/>
    <col width="8" customWidth="1" min="14" max="14"/>
    <col width="9" customWidth="1" min="15" max="15"/>
    <col width="12" customWidth="1" min="16" max="16"/>
  </cols>
  <sheetData>
    <row r="1">
      <c r="B1" s="7" t="inlineStr">
        <is>
          <t>เดือนที่แจ้งหนี้ (ค่าเช่า) :</t>
        </is>
      </c>
      <c r="D1" s="8" t="inlineStr">
        <is>
          <t>พฤษภาคม 2569</t>
        </is>
      </c>
      <c r="F1" s="9" t="inlineStr">
        <is>
          <t>ช่องสีเหลือง = พนักงานกรอก   |   ช่องสีเทา = คำนวณอัตโนมัติ (ห้ามแก้)</t>
        </is>
      </c>
    </row>
    <row r="2">
      <c r="B2" s="7" t="inlineStr">
        <is>
          <t>เดือนค่าน้ำ-ค่าไฟ :</t>
        </is>
      </c>
      <c r="D2" s="8" t="inlineStr">
        <is>
          <t>เมษายน 2569</t>
        </is>
      </c>
    </row>
    <row r="4">
      <c r="A4" s="10" t="inlineStr">
        <is>
          <t>ห้อง</t>
        </is>
      </c>
      <c r="B4" s="10" t="inlineStr">
        <is>
          <t>ชื่อผู้เช่า</t>
        </is>
      </c>
      <c r="C4" s="10" t="inlineStr">
        <is>
          <t>ค่าเช่า</t>
        </is>
      </c>
      <c r="D4" s="10" t="inlineStr">
        <is>
          <t>ค่าเฟอร์</t>
        </is>
      </c>
      <c r="E4" s="10" t="inlineStr">
        <is>
          <t>ไฟ-เลขเก่า</t>
        </is>
      </c>
      <c r="F4" s="10" t="inlineStr">
        <is>
          <t>ไฟ-เลขใหม่</t>
        </is>
      </c>
      <c r="G4" s="10" t="inlineStr">
        <is>
          <t>หน่วยไฟ</t>
        </is>
      </c>
      <c r="H4" s="10" t="inlineStr">
        <is>
          <t>ค่าไฟ</t>
        </is>
      </c>
      <c r="I4" s="10" t="inlineStr">
        <is>
          <t>น้ำ-เลขเก่า</t>
        </is>
      </c>
      <c r="J4" s="10" t="inlineStr">
        <is>
          <t>น้ำ-เลขใหม่</t>
        </is>
      </c>
      <c r="K4" s="10" t="inlineStr">
        <is>
          <t>หน่วยน้ำ</t>
        </is>
      </c>
      <c r="L4" s="10" t="inlineStr">
        <is>
          <t>ค่าน้ำ</t>
        </is>
      </c>
      <c r="M4" s="10" t="inlineStr">
        <is>
          <t>ส่วนกลาง</t>
        </is>
      </c>
      <c r="N4" s="10" t="inlineStr">
        <is>
          <t>ขยะ</t>
        </is>
      </c>
      <c r="O4" s="10" t="inlineStr">
        <is>
          <t>อื่นๆ</t>
        </is>
      </c>
      <c r="P4" s="10" t="inlineStr">
        <is>
          <t>รวมทั้งสิ้น</t>
        </is>
      </c>
    </row>
    <row r="5">
      <c r="A5" s="11" t="n">
        <v>201</v>
      </c>
      <c r="B5" s="12">
        <f>IFERROR(VLOOKUP(A5,ผู้เช่า!$A:$N,2,0),"")</f>
        <v/>
      </c>
      <c r="C5" s="13">
        <f>IFERROR(VLOOKUP(A5,ผู้เช่า!$A:$N,5,0),0)</f>
        <v/>
      </c>
      <c r="D5" s="13">
        <f>IFERROR(VLOOKUP(A5,ผู้เช่า!$A:$N,6,0),0)</f>
        <v/>
      </c>
      <c r="E5" s="14" t="n">
        <v>4099</v>
      </c>
      <c r="F5" s="15" t="n">
        <v>4191</v>
      </c>
      <c r="G5" s="16">
        <f>IF(F5="","",F5-E5)</f>
        <v/>
      </c>
      <c r="H5" s="17">
        <f>IF(G5="","",G5*IFERROR(VLOOKUP(A5,ผู้เช่า!$A:$N,9,0),0))</f>
        <v/>
      </c>
      <c r="I5" s="14" t="n">
        <v>93</v>
      </c>
      <c r="J5" s="15" t="n">
        <v>97</v>
      </c>
      <c r="K5" s="16">
        <f>IF(J5="","",J5-I5)</f>
        <v/>
      </c>
      <c r="L5" s="17">
        <f>IF(K5="","",MAX(K5*IFERROR(VLOOKUP(A5,ผู้เช่า!$A:$N,10,0),0),IFERROR(VLOOKUP(A5,ผู้เช่า!$A:$N,14,0),0)))</f>
        <v/>
      </c>
      <c r="M5" s="13">
        <f>IFERROR(VLOOKUP(A5,ผู้เช่า!$A:$N,7,0),0)</f>
        <v/>
      </c>
      <c r="N5" s="13">
        <f>IFERROR(VLOOKUP(A5,ผู้เช่า!$A:$N,8,0),0)</f>
        <v/>
      </c>
      <c r="O5" s="18" t="n">
        <v>0</v>
      </c>
      <c r="P5" s="19">
        <f>SUM(C5,D5,H5,L5,M5,N5,O5)</f>
        <v/>
      </c>
    </row>
    <row r="6">
      <c r="A6" s="11" t="n">
        <v>202</v>
      </c>
      <c r="B6" s="12">
        <f>IFERROR(VLOOKUP(A6,ผู้เช่า!$A:$N,2,0),"")</f>
        <v/>
      </c>
      <c r="C6" s="13">
        <f>IFERROR(VLOOKUP(A6,ผู้เช่า!$A:$N,5,0),0)</f>
        <v/>
      </c>
      <c r="D6" s="13">
        <f>IFERROR(VLOOKUP(A6,ผู้เช่า!$A:$N,6,0),0)</f>
        <v/>
      </c>
      <c r="E6" s="14" t="n"/>
      <c r="F6" s="15" t="n"/>
      <c r="G6" s="16">
        <f>IF(F6="","",F6-E6)</f>
        <v/>
      </c>
      <c r="H6" s="17">
        <f>IF(G6="","",G6*IFERROR(VLOOKUP(A6,ผู้เช่า!$A:$N,9,0),0))</f>
        <v/>
      </c>
      <c r="I6" s="14" t="n"/>
      <c r="J6" s="15" t="n"/>
      <c r="K6" s="16">
        <f>IF(J6="","",J6-I6)</f>
        <v/>
      </c>
      <c r="L6" s="17">
        <f>IF(K6="","",MAX(K6*IFERROR(VLOOKUP(A6,ผู้เช่า!$A:$N,10,0),0),IFERROR(VLOOKUP(A6,ผู้เช่า!$A:$N,14,0),0)))</f>
        <v/>
      </c>
      <c r="M6" s="13">
        <f>IFERROR(VLOOKUP(A6,ผู้เช่า!$A:$N,7,0),0)</f>
        <v/>
      </c>
      <c r="N6" s="13">
        <f>IFERROR(VLOOKUP(A6,ผู้เช่า!$A:$N,8,0),0)</f>
        <v/>
      </c>
      <c r="O6" s="18" t="n">
        <v>0</v>
      </c>
      <c r="P6" s="19">
        <f>SUM(C6,D6,H6,L6,M6,N6,O6)</f>
        <v/>
      </c>
    </row>
    <row r="7">
      <c r="A7" s="11" t="n">
        <v>203</v>
      </c>
      <c r="B7" s="12">
        <f>IFERROR(VLOOKUP(A7,ผู้เช่า!$A:$N,2,0),"")</f>
        <v/>
      </c>
      <c r="C7" s="13">
        <f>IFERROR(VLOOKUP(A7,ผู้เช่า!$A:$N,5,0),0)</f>
        <v/>
      </c>
      <c r="D7" s="13">
        <f>IFERROR(VLOOKUP(A7,ผู้เช่า!$A:$N,6,0),0)</f>
        <v/>
      </c>
      <c r="E7" s="14" t="n">
        <v>8223</v>
      </c>
      <c r="F7" s="15" t="n">
        <v>8304</v>
      </c>
      <c r="G7" s="16">
        <f>IF(F7="","",F7-E7)</f>
        <v/>
      </c>
      <c r="H7" s="17">
        <f>IF(G7="","",G7*IFERROR(VLOOKUP(A7,ผู้เช่า!$A:$N,9,0),0))</f>
        <v/>
      </c>
      <c r="I7" s="14" t="n">
        <v>484</v>
      </c>
      <c r="J7" s="15" t="n">
        <v>491</v>
      </c>
      <c r="K7" s="16">
        <f>IF(J7="","",J7-I7)</f>
        <v/>
      </c>
      <c r="L7" s="17">
        <f>IF(K7="","",MAX(K7*IFERROR(VLOOKUP(A7,ผู้เช่า!$A:$N,10,0),0),IFERROR(VLOOKUP(A7,ผู้เช่า!$A:$N,14,0),0)))</f>
        <v/>
      </c>
      <c r="M7" s="13">
        <f>IFERROR(VLOOKUP(A7,ผู้เช่า!$A:$N,7,0),0)</f>
        <v/>
      </c>
      <c r="N7" s="13">
        <f>IFERROR(VLOOKUP(A7,ผู้เช่า!$A:$N,8,0),0)</f>
        <v/>
      </c>
      <c r="O7" s="18" t="n">
        <v>0</v>
      </c>
      <c r="P7" s="19">
        <f>SUM(C7,D7,H7,L7,M7,N7,O7)</f>
        <v/>
      </c>
    </row>
    <row r="8">
      <c r="A8" s="11" t="n">
        <v>204</v>
      </c>
      <c r="B8" s="12">
        <f>IFERROR(VLOOKUP(A8,ผู้เช่า!$A:$N,2,0),"")</f>
        <v/>
      </c>
      <c r="C8" s="13">
        <f>IFERROR(VLOOKUP(A8,ผู้เช่า!$A:$N,5,0),0)</f>
        <v/>
      </c>
      <c r="D8" s="13">
        <f>IFERROR(VLOOKUP(A8,ผู้เช่า!$A:$N,6,0),0)</f>
        <v/>
      </c>
      <c r="E8" s="14" t="n">
        <v>6782</v>
      </c>
      <c r="F8" s="15" t="n">
        <v>6860</v>
      </c>
      <c r="G8" s="16">
        <f>IF(F8="","",F8-E8)</f>
        <v/>
      </c>
      <c r="H8" s="17">
        <f>IF(G8="","",G8*IFERROR(VLOOKUP(A8,ผู้เช่า!$A:$N,9,0),0))</f>
        <v/>
      </c>
      <c r="I8" s="14" t="n">
        <v>549</v>
      </c>
      <c r="J8" s="15" t="n">
        <v>553</v>
      </c>
      <c r="K8" s="16">
        <f>IF(J8="","",J8-I8)</f>
        <v/>
      </c>
      <c r="L8" s="17">
        <f>IF(K8="","",MAX(K8*IFERROR(VLOOKUP(A8,ผู้เช่า!$A:$N,10,0),0),IFERROR(VLOOKUP(A8,ผู้เช่า!$A:$N,14,0),0)))</f>
        <v/>
      </c>
      <c r="M8" s="13">
        <f>IFERROR(VLOOKUP(A8,ผู้เช่า!$A:$N,7,0),0)</f>
        <v/>
      </c>
      <c r="N8" s="13">
        <f>IFERROR(VLOOKUP(A8,ผู้เช่า!$A:$N,8,0),0)</f>
        <v/>
      </c>
      <c r="O8" s="18" t="n">
        <v>0</v>
      </c>
      <c r="P8" s="19">
        <f>SUM(C8,D8,H8,L8,M8,N8,O8)</f>
        <v/>
      </c>
    </row>
    <row r="9">
      <c r="A9" s="11" t="n">
        <v>205</v>
      </c>
      <c r="B9" s="12">
        <f>IFERROR(VLOOKUP(A9,ผู้เช่า!$A:$N,2,0),"")</f>
        <v/>
      </c>
      <c r="C9" s="13">
        <f>IFERROR(VLOOKUP(A9,ผู้เช่า!$A:$N,5,0),0)</f>
        <v/>
      </c>
      <c r="D9" s="13">
        <f>IFERROR(VLOOKUP(A9,ผู้เช่า!$A:$N,6,0),0)</f>
        <v/>
      </c>
      <c r="E9" s="14" t="n"/>
      <c r="F9" s="15" t="n"/>
      <c r="G9" s="16">
        <f>IF(F9="","",F9-E9)</f>
        <v/>
      </c>
      <c r="H9" s="17">
        <f>IF(G9="","",G9*IFERROR(VLOOKUP(A9,ผู้เช่า!$A:$N,9,0),0))</f>
        <v/>
      </c>
      <c r="I9" s="14" t="n"/>
      <c r="J9" s="15" t="n"/>
      <c r="K9" s="16">
        <f>IF(J9="","",J9-I9)</f>
        <v/>
      </c>
      <c r="L9" s="17">
        <f>IF(K9="","",MAX(K9*IFERROR(VLOOKUP(A9,ผู้เช่า!$A:$N,10,0),0),IFERROR(VLOOKUP(A9,ผู้เช่า!$A:$N,14,0),0)))</f>
        <v/>
      </c>
      <c r="M9" s="13">
        <f>IFERROR(VLOOKUP(A9,ผู้เช่า!$A:$N,7,0),0)</f>
        <v/>
      </c>
      <c r="N9" s="13">
        <f>IFERROR(VLOOKUP(A9,ผู้เช่า!$A:$N,8,0),0)</f>
        <v/>
      </c>
      <c r="O9" s="18" t="n">
        <v>0</v>
      </c>
      <c r="P9" s="19">
        <f>SUM(C9,D9,H9,L9,M9,N9,O9)</f>
        <v/>
      </c>
    </row>
    <row r="10">
      <c r="A10" s="11" t="n">
        <v>206</v>
      </c>
      <c r="B10" s="12">
        <f>IFERROR(VLOOKUP(A10,ผู้เช่า!$A:$N,2,0),"")</f>
        <v/>
      </c>
      <c r="C10" s="13">
        <f>IFERROR(VLOOKUP(A10,ผู้เช่า!$A:$N,5,0),0)</f>
        <v/>
      </c>
      <c r="D10" s="13">
        <f>IFERROR(VLOOKUP(A10,ผู้เช่า!$A:$N,6,0),0)</f>
        <v/>
      </c>
      <c r="E10" s="14" t="n">
        <v>399</v>
      </c>
      <c r="F10" s="15" t="n">
        <v>433</v>
      </c>
      <c r="G10" s="16">
        <f>IF(F10="","",F10-E10)</f>
        <v/>
      </c>
      <c r="H10" s="17">
        <f>IF(G10="","",G10*IFERROR(VLOOKUP(A10,ผู้เช่า!$A:$N,9,0),0))</f>
        <v/>
      </c>
      <c r="I10" s="14" t="n">
        <v>721</v>
      </c>
      <c r="J10" s="15" t="n">
        <v>729</v>
      </c>
      <c r="K10" s="16">
        <f>IF(J10="","",J10-I10)</f>
        <v/>
      </c>
      <c r="L10" s="17">
        <f>IF(K10="","",MAX(K10*IFERROR(VLOOKUP(A10,ผู้เช่า!$A:$N,10,0),0),IFERROR(VLOOKUP(A10,ผู้เช่า!$A:$N,14,0),0)))</f>
        <v/>
      </c>
      <c r="M10" s="13">
        <f>IFERROR(VLOOKUP(A10,ผู้เช่า!$A:$N,7,0),0)</f>
        <v/>
      </c>
      <c r="N10" s="13">
        <f>IFERROR(VLOOKUP(A10,ผู้เช่า!$A:$N,8,0),0)</f>
        <v/>
      </c>
      <c r="O10" s="18" t="n">
        <v>0</v>
      </c>
      <c r="P10" s="19">
        <f>SUM(C10,D10,H10,L10,M10,N10,O10)</f>
        <v/>
      </c>
    </row>
    <row r="11">
      <c r="A11" s="11" t="n">
        <v>207</v>
      </c>
      <c r="B11" s="12">
        <f>IFERROR(VLOOKUP(A11,ผู้เช่า!$A:$N,2,0),"")</f>
        <v/>
      </c>
      <c r="C11" s="13">
        <f>IFERROR(VLOOKUP(A11,ผู้เช่า!$A:$N,5,0),0)</f>
        <v/>
      </c>
      <c r="D11" s="13">
        <f>IFERROR(VLOOKUP(A11,ผู้เช่า!$A:$N,6,0),0)</f>
        <v/>
      </c>
      <c r="E11" s="14" t="n">
        <v>17657</v>
      </c>
      <c r="F11" s="15" t="n">
        <v>18019</v>
      </c>
      <c r="G11" s="16">
        <f>IF(F11="","",F11-E11)</f>
        <v/>
      </c>
      <c r="H11" s="17">
        <f>IF(G11="","",G11*IFERROR(VLOOKUP(A11,ผู้เช่า!$A:$N,9,0),0))</f>
        <v/>
      </c>
      <c r="I11" s="14" t="n">
        <v>436</v>
      </c>
      <c r="J11" s="15" t="n">
        <v>437</v>
      </c>
      <c r="K11" s="16">
        <f>IF(J11="","",J11-I11)</f>
        <v/>
      </c>
      <c r="L11" s="17">
        <f>IF(K11="","",MAX(K11*IFERROR(VLOOKUP(A11,ผู้เช่า!$A:$N,10,0),0),IFERROR(VLOOKUP(A11,ผู้เช่า!$A:$N,14,0),0)))</f>
        <v/>
      </c>
      <c r="M11" s="13">
        <f>IFERROR(VLOOKUP(A11,ผู้เช่า!$A:$N,7,0),0)</f>
        <v/>
      </c>
      <c r="N11" s="13">
        <f>IFERROR(VLOOKUP(A11,ผู้เช่า!$A:$N,8,0),0)</f>
        <v/>
      </c>
      <c r="O11" s="18" t="n">
        <v>0</v>
      </c>
      <c r="P11" s="19">
        <f>SUM(C11,D11,H11,L11,M11,N11,O11)</f>
        <v/>
      </c>
    </row>
    <row r="12">
      <c r="A12" s="11" t="n">
        <v>208</v>
      </c>
      <c r="B12" s="12">
        <f>IFERROR(VLOOKUP(A12,ผู้เช่า!$A:$N,2,0),"")</f>
        <v/>
      </c>
      <c r="C12" s="13">
        <f>IFERROR(VLOOKUP(A12,ผู้เช่า!$A:$N,5,0),0)</f>
        <v/>
      </c>
      <c r="D12" s="13">
        <f>IFERROR(VLOOKUP(A12,ผู้เช่า!$A:$N,6,0),0)</f>
        <v/>
      </c>
      <c r="E12" s="14" t="n">
        <v>1253</v>
      </c>
      <c r="F12" s="15" t="n">
        <v>1786</v>
      </c>
      <c r="G12" s="16">
        <f>IF(F12="","",F12-E12)</f>
        <v/>
      </c>
      <c r="H12" s="17">
        <f>IF(G12="","",G12*IFERROR(VLOOKUP(A12,ผู้เช่า!$A:$N,9,0),0))</f>
        <v/>
      </c>
      <c r="I12" s="14" t="n">
        <v>502</v>
      </c>
      <c r="J12" s="15" t="n">
        <v>518</v>
      </c>
      <c r="K12" s="16">
        <f>IF(J12="","",J12-I12)</f>
        <v/>
      </c>
      <c r="L12" s="17">
        <f>IF(K12="","",MAX(K12*IFERROR(VLOOKUP(A12,ผู้เช่า!$A:$N,10,0),0),IFERROR(VLOOKUP(A12,ผู้เช่า!$A:$N,14,0),0)))</f>
        <v/>
      </c>
      <c r="M12" s="13">
        <f>IFERROR(VLOOKUP(A12,ผู้เช่า!$A:$N,7,0),0)</f>
        <v/>
      </c>
      <c r="N12" s="13">
        <f>IFERROR(VLOOKUP(A12,ผู้เช่า!$A:$N,8,0),0)</f>
        <v/>
      </c>
      <c r="O12" s="18" t="n">
        <v>0</v>
      </c>
      <c r="P12" s="19">
        <f>SUM(C12,D12,H12,L12,M12,N12,O12)</f>
        <v/>
      </c>
    </row>
    <row r="13">
      <c r="A13" s="11" t="n">
        <v>209</v>
      </c>
      <c r="B13" s="12">
        <f>IFERROR(VLOOKUP(A13,ผู้เช่า!$A:$N,2,0),"")</f>
        <v/>
      </c>
      <c r="C13" s="13">
        <f>IFERROR(VLOOKUP(A13,ผู้เช่า!$A:$N,5,0),0)</f>
        <v/>
      </c>
      <c r="D13" s="13">
        <f>IFERROR(VLOOKUP(A13,ผู้เช่า!$A:$N,6,0),0)</f>
        <v/>
      </c>
      <c r="E13" s="14" t="n">
        <v>50</v>
      </c>
      <c r="F13" s="15" t="n">
        <v>233</v>
      </c>
      <c r="G13" s="16">
        <f>IF(F13="","",F13-E13)</f>
        <v/>
      </c>
      <c r="H13" s="17">
        <f>IF(G13="","",G13*IFERROR(VLOOKUP(A13,ผู้เช่า!$A:$N,9,0),0))</f>
        <v/>
      </c>
      <c r="I13" s="14" t="n">
        <v>533</v>
      </c>
      <c r="J13" s="15" t="n">
        <v>538</v>
      </c>
      <c r="K13" s="16">
        <f>IF(J13="","",J13-I13)</f>
        <v/>
      </c>
      <c r="L13" s="17">
        <f>IF(K13="","",MAX(K13*IFERROR(VLOOKUP(A13,ผู้เช่า!$A:$N,10,0),0),IFERROR(VLOOKUP(A13,ผู้เช่า!$A:$N,14,0),0)))</f>
        <v/>
      </c>
      <c r="M13" s="13">
        <f>IFERROR(VLOOKUP(A13,ผู้เช่า!$A:$N,7,0),0)</f>
        <v/>
      </c>
      <c r="N13" s="13">
        <f>IFERROR(VLOOKUP(A13,ผู้เช่า!$A:$N,8,0),0)</f>
        <v/>
      </c>
      <c r="O13" s="18" t="n">
        <v>0</v>
      </c>
      <c r="P13" s="19">
        <f>SUM(C13,D13,H13,L13,M13,N13,O13)</f>
        <v/>
      </c>
    </row>
    <row r="14">
      <c r="A14" s="11" t="n">
        <v>210</v>
      </c>
      <c r="B14" s="12">
        <f>IFERROR(VLOOKUP(A14,ผู้เช่า!$A:$N,2,0),"")</f>
        <v/>
      </c>
      <c r="C14" s="13">
        <f>IFERROR(VLOOKUP(A14,ผู้เช่า!$A:$N,5,0),0)</f>
        <v/>
      </c>
      <c r="D14" s="13">
        <f>IFERROR(VLOOKUP(A14,ผู้เช่า!$A:$N,6,0),0)</f>
        <v/>
      </c>
      <c r="E14" s="14" t="n">
        <v>9210</v>
      </c>
      <c r="F14" s="15" t="n">
        <v>9403</v>
      </c>
      <c r="G14" s="16">
        <f>IF(F14="","",F14-E14)</f>
        <v/>
      </c>
      <c r="H14" s="17">
        <f>IF(G14="","",G14*IFERROR(VLOOKUP(A14,ผู้เช่า!$A:$N,9,0),0))</f>
        <v/>
      </c>
      <c r="I14" s="14" t="n">
        <v>597</v>
      </c>
      <c r="J14" s="15" t="n">
        <v>602</v>
      </c>
      <c r="K14" s="16">
        <f>IF(J14="","",J14-I14)</f>
        <v/>
      </c>
      <c r="L14" s="17">
        <f>IF(K14="","",MAX(K14*IFERROR(VLOOKUP(A14,ผู้เช่า!$A:$N,10,0),0),IFERROR(VLOOKUP(A14,ผู้เช่า!$A:$N,14,0),0)))</f>
        <v/>
      </c>
      <c r="M14" s="13">
        <f>IFERROR(VLOOKUP(A14,ผู้เช่า!$A:$N,7,0),0)</f>
        <v/>
      </c>
      <c r="N14" s="13">
        <f>IFERROR(VLOOKUP(A14,ผู้เช่า!$A:$N,8,0),0)</f>
        <v/>
      </c>
      <c r="O14" s="18" t="n">
        <v>0</v>
      </c>
      <c r="P14" s="19">
        <f>SUM(C14,D14,H14,L14,M14,N14,O14)</f>
        <v/>
      </c>
    </row>
    <row r="15">
      <c r="A15" s="11" t="n">
        <v>211</v>
      </c>
      <c r="B15" s="12">
        <f>IFERROR(VLOOKUP(A15,ผู้เช่า!$A:$N,2,0),"")</f>
        <v/>
      </c>
      <c r="C15" s="13">
        <f>IFERROR(VLOOKUP(A15,ผู้เช่า!$A:$N,5,0),0)</f>
        <v/>
      </c>
      <c r="D15" s="13">
        <f>IFERROR(VLOOKUP(A15,ผู้เช่า!$A:$N,6,0),0)</f>
        <v/>
      </c>
      <c r="E15" s="14" t="n">
        <v>5982</v>
      </c>
      <c r="F15" s="15" t="n">
        <v>6195</v>
      </c>
      <c r="G15" s="16">
        <f>IF(F15="","",F15-E15)</f>
        <v/>
      </c>
      <c r="H15" s="17">
        <f>IF(G15="","",G15*IFERROR(VLOOKUP(A15,ผู้เช่า!$A:$N,9,0),0))</f>
        <v/>
      </c>
      <c r="I15" s="14" t="n">
        <v>210</v>
      </c>
      <c r="J15" s="15" t="n">
        <v>213</v>
      </c>
      <c r="K15" s="16">
        <f>IF(J15="","",J15-I15)</f>
        <v/>
      </c>
      <c r="L15" s="17">
        <f>IF(K15="","",MAX(K15*IFERROR(VLOOKUP(A15,ผู้เช่า!$A:$N,10,0),0),IFERROR(VLOOKUP(A15,ผู้เช่า!$A:$N,14,0),0)))</f>
        <v/>
      </c>
      <c r="M15" s="13">
        <f>IFERROR(VLOOKUP(A15,ผู้เช่า!$A:$N,7,0),0)</f>
        <v/>
      </c>
      <c r="N15" s="13">
        <f>IFERROR(VLOOKUP(A15,ผู้เช่า!$A:$N,8,0),0)</f>
        <v/>
      </c>
      <c r="O15" s="18" t="n">
        <v>0</v>
      </c>
      <c r="P15" s="19">
        <f>SUM(C15,D15,H15,L15,M15,N15,O15)</f>
        <v/>
      </c>
    </row>
    <row r="16">
      <c r="A16" s="11" t="n">
        <v>212</v>
      </c>
      <c r="B16" s="12">
        <f>IFERROR(VLOOKUP(A16,ผู้เช่า!$A:$N,2,0),"")</f>
        <v/>
      </c>
      <c r="C16" s="13">
        <f>IFERROR(VLOOKUP(A16,ผู้เช่า!$A:$N,5,0),0)</f>
        <v/>
      </c>
      <c r="D16" s="13">
        <f>IFERROR(VLOOKUP(A16,ผู้เช่า!$A:$N,6,0),0)</f>
        <v/>
      </c>
      <c r="E16" s="14" t="n">
        <v>2126</v>
      </c>
      <c r="F16" s="15" t="n">
        <v>2362</v>
      </c>
      <c r="G16" s="16">
        <f>IF(F16="","",F16-E16)</f>
        <v/>
      </c>
      <c r="H16" s="17">
        <f>IF(G16="","",G16*IFERROR(VLOOKUP(A16,ผู้เช่า!$A:$N,9,0),0))</f>
        <v/>
      </c>
      <c r="I16" s="14" t="n">
        <v>561</v>
      </c>
      <c r="J16" s="15" t="n">
        <v>563</v>
      </c>
      <c r="K16" s="16">
        <f>IF(J16="","",J16-I16)</f>
        <v/>
      </c>
      <c r="L16" s="17">
        <f>IF(K16="","",MAX(K16*IFERROR(VLOOKUP(A16,ผู้เช่า!$A:$N,10,0),0),IFERROR(VLOOKUP(A16,ผู้เช่า!$A:$N,14,0),0)))</f>
        <v/>
      </c>
      <c r="M16" s="13">
        <f>IFERROR(VLOOKUP(A16,ผู้เช่า!$A:$N,7,0),0)</f>
        <v/>
      </c>
      <c r="N16" s="13">
        <f>IFERROR(VLOOKUP(A16,ผู้เช่า!$A:$N,8,0),0)</f>
        <v/>
      </c>
      <c r="O16" s="18" t="n">
        <v>0</v>
      </c>
      <c r="P16" s="19">
        <f>SUM(C16,D16,H16,L16,M16,N16,O16)</f>
        <v/>
      </c>
    </row>
    <row r="17">
      <c r="A17" s="11" t="n">
        <v>213</v>
      </c>
      <c r="B17" s="12">
        <f>IFERROR(VLOOKUP(A17,ผู้เช่า!$A:$N,2,0),"")</f>
        <v/>
      </c>
      <c r="C17" s="13">
        <f>IFERROR(VLOOKUP(A17,ผู้เช่า!$A:$N,5,0),0)</f>
        <v/>
      </c>
      <c r="D17" s="13">
        <f>IFERROR(VLOOKUP(A17,ผู้เช่า!$A:$N,6,0),0)</f>
        <v/>
      </c>
      <c r="E17" s="14" t="n">
        <v>9704</v>
      </c>
      <c r="F17" s="15" t="n">
        <v>9752</v>
      </c>
      <c r="G17" s="16">
        <f>IF(F17="","",F17-E17)</f>
        <v/>
      </c>
      <c r="H17" s="17">
        <f>IF(G17="","",G17*IFERROR(VLOOKUP(A17,ผู้เช่า!$A:$N,9,0),0))</f>
        <v/>
      </c>
      <c r="I17" s="14" t="n">
        <v>345</v>
      </c>
      <c r="J17" s="15" t="n">
        <v>349</v>
      </c>
      <c r="K17" s="16">
        <f>IF(J17="","",J17-I17)</f>
        <v/>
      </c>
      <c r="L17" s="17">
        <f>IF(K17="","",MAX(K17*IFERROR(VLOOKUP(A17,ผู้เช่า!$A:$N,10,0),0),IFERROR(VLOOKUP(A17,ผู้เช่า!$A:$N,14,0),0)))</f>
        <v/>
      </c>
      <c r="M17" s="13">
        <f>IFERROR(VLOOKUP(A17,ผู้เช่า!$A:$N,7,0),0)</f>
        <v/>
      </c>
      <c r="N17" s="13">
        <f>IFERROR(VLOOKUP(A17,ผู้เช่า!$A:$N,8,0),0)</f>
        <v/>
      </c>
      <c r="O17" s="18" t="n">
        <v>0</v>
      </c>
      <c r="P17" s="19">
        <f>SUM(C17,D17,H17,L17,M17,N17,O17)</f>
        <v/>
      </c>
    </row>
    <row r="18">
      <c r="A18" s="11" t="n">
        <v>214</v>
      </c>
      <c r="B18" s="12">
        <f>IFERROR(VLOOKUP(A18,ผู้เช่า!$A:$N,2,0),"")</f>
        <v/>
      </c>
      <c r="C18" s="13">
        <f>IFERROR(VLOOKUP(A18,ผู้เช่า!$A:$N,5,0),0)</f>
        <v/>
      </c>
      <c r="D18" s="13">
        <f>IFERROR(VLOOKUP(A18,ผู้เช่า!$A:$N,6,0),0)</f>
        <v/>
      </c>
      <c r="E18" s="14" t="n">
        <v>7449</v>
      </c>
      <c r="F18" s="15" t="n">
        <v>7656</v>
      </c>
      <c r="G18" s="16">
        <f>IF(F18="","",F18-E18)</f>
        <v/>
      </c>
      <c r="H18" s="17">
        <f>IF(G18="","",G18*IFERROR(VLOOKUP(A18,ผู้เช่า!$A:$N,9,0),0))</f>
        <v/>
      </c>
      <c r="I18" s="14" t="n">
        <v>269</v>
      </c>
      <c r="J18" s="15" t="n">
        <v>274</v>
      </c>
      <c r="K18" s="16">
        <f>IF(J18="","",J18-I18)</f>
        <v/>
      </c>
      <c r="L18" s="17">
        <f>IF(K18="","",MAX(K18*IFERROR(VLOOKUP(A18,ผู้เช่า!$A:$N,10,0),0),IFERROR(VLOOKUP(A18,ผู้เช่า!$A:$N,14,0),0)))</f>
        <v/>
      </c>
      <c r="M18" s="13">
        <f>IFERROR(VLOOKUP(A18,ผู้เช่า!$A:$N,7,0),0)</f>
        <v/>
      </c>
      <c r="N18" s="13">
        <f>IFERROR(VLOOKUP(A18,ผู้เช่า!$A:$N,8,0),0)</f>
        <v/>
      </c>
      <c r="O18" s="18" t="n">
        <v>100</v>
      </c>
      <c r="P18" s="19">
        <f>SUM(C18,D18,H18,L18,M18,N18,O18)</f>
        <v/>
      </c>
    </row>
    <row r="19">
      <c r="A19" s="11" t="n">
        <v>215</v>
      </c>
      <c r="B19" s="12">
        <f>IFERROR(VLOOKUP(A19,ผู้เช่า!$A:$N,2,0),"")</f>
        <v/>
      </c>
      <c r="C19" s="13">
        <f>IFERROR(VLOOKUP(A19,ผู้เช่า!$A:$N,5,0),0)</f>
        <v/>
      </c>
      <c r="D19" s="13">
        <f>IFERROR(VLOOKUP(A19,ผู้เช่า!$A:$N,6,0),0)</f>
        <v/>
      </c>
      <c r="E19" s="14" t="n">
        <v>7458</v>
      </c>
      <c r="F19" s="15" t="n">
        <v>7687</v>
      </c>
      <c r="G19" s="16">
        <f>IF(F19="","",F19-E19)</f>
        <v/>
      </c>
      <c r="H19" s="17">
        <f>IF(G19="","",G19*IFERROR(VLOOKUP(A19,ผู้เช่า!$A:$N,9,0),0))</f>
        <v/>
      </c>
      <c r="I19" s="14" t="n">
        <v>326</v>
      </c>
      <c r="J19" s="15" t="n">
        <v>327</v>
      </c>
      <c r="K19" s="16">
        <f>IF(J19="","",J19-I19)</f>
        <v/>
      </c>
      <c r="L19" s="17">
        <f>IF(K19="","",MAX(K19*IFERROR(VLOOKUP(A19,ผู้เช่า!$A:$N,10,0),0),IFERROR(VLOOKUP(A19,ผู้เช่า!$A:$N,14,0),0)))</f>
        <v/>
      </c>
      <c r="M19" s="13">
        <f>IFERROR(VLOOKUP(A19,ผู้เช่า!$A:$N,7,0),0)</f>
        <v/>
      </c>
      <c r="N19" s="13">
        <f>IFERROR(VLOOKUP(A19,ผู้เช่า!$A:$N,8,0),0)</f>
        <v/>
      </c>
      <c r="O19" s="18" t="n">
        <v>0</v>
      </c>
      <c r="P19" s="19">
        <f>SUM(C19,D19,H19,L19,M19,N19,O19)</f>
        <v/>
      </c>
    </row>
    <row r="20">
      <c r="A20" s="11" t="n">
        <v>216</v>
      </c>
      <c r="B20" s="12">
        <f>IFERROR(VLOOKUP(A20,ผู้เช่า!$A:$N,2,0),"")</f>
        <v/>
      </c>
      <c r="C20" s="13">
        <f>IFERROR(VLOOKUP(A20,ผู้เช่า!$A:$N,5,0),0)</f>
        <v/>
      </c>
      <c r="D20" s="13">
        <f>IFERROR(VLOOKUP(A20,ผู้เช่า!$A:$N,6,0),0)</f>
        <v/>
      </c>
      <c r="E20" s="14" t="n">
        <v>1855</v>
      </c>
      <c r="F20" s="15" t="n">
        <v>1887</v>
      </c>
      <c r="G20" s="16">
        <f>IF(F20="","",F20-E20)</f>
        <v/>
      </c>
      <c r="H20" s="17">
        <f>IF(G20="","",G20*IFERROR(VLOOKUP(A20,ผู้เช่า!$A:$N,9,0),0))</f>
        <v/>
      </c>
      <c r="I20" s="14" t="n">
        <v>487</v>
      </c>
      <c r="J20" s="15" t="n">
        <v>492</v>
      </c>
      <c r="K20" s="16">
        <f>IF(J20="","",J20-I20)</f>
        <v/>
      </c>
      <c r="L20" s="17">
        <f>IF(K20="","",MAX(K20*IFERROR(VLOOKUP(A20,ผู้เช่า!$A:$N,10,0),0),IFERROR(VLOOKUP(A20,ผู้เช่า!$A:$N,14,0),0)))</f>
        <v/>
      </c>
      <c r="M20" s="13">
        <f>IFERROR(VLOOKUP(A20,ผู้เช่า!$A:$N,7,0),0)</f>
        <v/>
      </c>
      <c r="N20" s="13">
        <f>IFERROR(VLOOKUP(A20,ผู้เช่า!$A:$N,8,0),0)</f>
        <v/>
      </c>
      <c r="O20" s="18" t="n">
        <v>0</v>
      </c>
      <c r="P20" s="19">
        <f>SUM(C20,D20,H20,L20,M20,N20,O20)</f>
        <v/>
      </c>
    </row>
    <row r="21">
      <c r="A21" s="11" t="n">
        <v>217</v>
      </c>
      <c r="B21" s="12">
        <f>IFERROR(VLOOKUP(A21,ผู้เช่า!$A:$N,2,0),"")</f>
        <v/>
      </c>
      <c r="C21" s="13">
        <f>IFERROR(VLOOKUP(A21,ผู้เช่า!$A:$N,5,0),0)</f>
        <v/>
      </c>
      <c r="D21" s="13">
        <f>IFERROR(VLOOKUP(A21,ผู้เช่า!$A:$N,6,0),0)</f>
        <v/>
      </c>
      <c r="E21" s="14" t="n">
        <v>1855</v>
      </c>
      <c r="F21" s="15" t="n">
        <v>1940</v>
      </c>
      <c r="G21" s="16">
        <f>IF(F21="","",F21-E21)</f>
        <v/>
      </c>
      <c r="H21" s="17">
        <f>IF(G21="","",G21*IFERROR(VLOOKUP(A21,ผู้เช่า!$A:$N,9,0),0))</f>
        <v/>
      </c>
      <c r="I21" s="14" t="n">
        <v>364</v>
      </c>
      <c r="J21" s="15" t="n">
        <v>365</v>
      </c>
      <c r="K21" s="16">
        <f>IF(J21="","",J21-I21)</f>
        <v/>
      </c>
      <c r="L21" s="17">
        <f>IF(K21="","",MAX(K21*IFERROR(VLOOKUP(A21,ผู้เช่า!$A:$N,10,0),0),IFERROR(VLOOKUP(A21,ผู้เช่า!$A:$N,14,0),0)))</f>
        <v/>
      </c>
      <c r="M21" s="13">
        <f>IFERROR(VLOOKUP(A21,ผู้เช่า!$A:$N,7,0),0)</f>
        <v/>
      </c>
      <c r="N21" s="13">
        <f>IFERROR(VLOOKUP(A21,ผู้เช่า!$A:$N,8,0),0)</f>
        <v/>
      </c>
      <c r="O21" s="18" t="n">
        <v>0</v>
      </c>
      <c r="P21" s="19">
        <f>SUM(C21,D21,H21,L21,M21,N21,O21)</f>
        <v/>
      </c>
    </row>
    <row r="22">
      <c r="A22" s="11" t="n">
        <v>218</v>
      </c>
      <c r="B22" s="12">
        <f>IFERROR(VLOOKUP(A22,ผู้เช่า!$A:$N,2,0),"")</f>
        <v/>
      </c>
      <c r="C22" s="13">
        <f>IFERROR(VLOOKUP(A22,ผู้เช่า!$A:$N,5,0),0)</f>
        <v/>
      </c>
      <c r="D22" s="13">
        <f>IFERROR(VLOOKUP(A22,ผู้เช่า!$A:$N,6,0),0)</f>
        <v/>
      </c>
      <c r="E22" s="14" t="n">
        <v>5606</v>
      </c>
      <c r="F22" s="15" t="n">
        <v>5845</v>
      </c>
      <c r="G22" s="16">
        <f>IF(F22="","",F22-E22)</f>
        <v/>
      </c>
      <c r="H22" s="17">
        <f>IF(G22="","",G22*IFERROR(VLOOKUP(A22,ผู้เช่า!$A:$N,9,0),0))</f>
        <v/>
      </c>
      <c r="I22" s="14" t="n">
        <v>196</v>
      </c>
      <c r="J22" s="15" t="n">
        <v>206</v>
      </c>
      <c r="K22" s="16">
        <f>IF(J22="","",J22-I22)</f>
        <v/>
      </c>
      <c r="L22" s="17">
        <f>IF(K22="","",MAX(K22*IFERROR(VLOOKUP(A22,ผู้เช่า!$A:$N,10,0),0),IFERROR(VLOOKUP(A22,ผู้เช่า!$A:$N,14,0),0)))</f>
        <v/>
      </c>
      <c r="M22" s="13">
        <f>IFERROR(VLOOKUP(A22,ผู้เช่า!$A:$N,7,0),0)</f>
        <v/>
      </c>
      <c r="N22" s="13">
        <f>IFERROR(VLOOKUP(A22,ผู้เช่า!$A:$N,8,0),0)</f>
        <v/>
      </c>
      <c r="O22" s="18" t="n">
        <v>0</v>
      </c>
      <c r="P22" s="19">
        <f>SUM(C22,D22,H22,L22,M22,N22,O22)</f>
        <v/>
      </c>
    </row>
    <row r="23">
      <c r="A23" s="11" t="n">
        <v>301</v>
      </c>
      <c r="B23" s="12">
        <f>IFERROR(VLOOKUP(A23,ผู้เช่า!$A:$N,2,0),"")</f>
        <v/>
      </c>
      <c r="C23" s="13">
        <f>IFERROR(VLOOKUP(A23,ผู้เช่า!$A:$N,5,0),0)</f>
        <v/>
      </c>
      <c r="D23" s="13">
        <f>IFERROR(VLOOKUP(A23,ผู้เช่า!$A:$N,6,0),0)</f>
        <v/>
      </c>
      <c r="E23" s="14" t="n">
        <v>5223</v>
      </c>
      <c r="F23" s="15" t="n">
        <v>5244</v>
      </c>
      <c r="G23" s="16">
        <f>IF(F23="","",F23-E23)</f>
        <v/>
      </c>
      <c r="H23" s="17">
        <f>IF(G23="","",G23*IFERROR(VLOOKUP(A23,ผู้เช่า!$A:$N,9,0),0))</f>
        <v/>
      </c>
      <c r="I23" s="14" t="n">
        <v>276</v>
      </c>
      <c r="J23" s="15" t="n">
        <v>279</v>
      </c>
      <c r="K23" s="16">
        <f>IF(J23="","",J23-I23)</f>
        <v/>
      </c>
      <c r="L23" s="17">
        <f>IF(K23="","",MAX(K23*IFERROR(VLOOKUP(A23,ผู้เช่า!$A:$N,10,0),0),IFERROR(VLOOKUP(A23,ผู้เช่า!$A:$N,14,0),0)))</f>
        <v/>
      </c>
      <c r="M23" s="13">
        <f>IFERROR(VLOOKUP(A23,ผู้เช่า!$A:$N,7,0),0)</f>
        <v/>
      </c>
      <c r="N23" s="13">
        <f>IFERROR(VLOOKUP(A23,ผู้เช่า!$A:$N,8,0),0)</f>
        <v/>
      </c>
      <c r="O23" s="18" t="n">
        <v>0</v>
      </c>
      <c r="P23" s="19">
        <f>SUM(C23,D23,H23,L23,M23,N23,O23)</f>
        <v/>
      </c>
    </row>
    <row r="24">
      <c r="A24" s="11" t="n">
        <v>302</v>
      </c>
      <c r="B24" s="12">
        <f>IFERROR(VLOOKUP(A24,ผู้เช่า!$A:$N,2,0),"")</f>
        <v/>
      </c>
      <c r="C24" s="13">
        <f>IFERROR(VLOOKUP(A24,ผู้เช่า!$A:$N,5,0),0)</f>
        <v/>
      </c>
      <c r="D24" s="13">
        <f>IFERROR(VLOOKUP(A24,ผู้เช่า!$A:$N,6,0),0)</f>
        <v/>
      </c>
      <c r="E24" s="14" t="n">
        <v>6433</v>
      </c>
      <c r="F24" s="15" t="n">
        <v>6540</v>
      </c>
      <c r="G24" s="16">
        <f>IF(F24="","",F24-E24)</f>
        <v/>
      </c>
      <c r="H24" s="17">
        <f>IF(G24="","",G24*IFERROR(VLOOKUP(A24,ผู้เช่า!$A:$N,9,0),0))</f>
        <v/>
      </c>
      <c r="I24" s="14" t="n">
        <v>177</v>
      </c>
      <c r="J24" s="15" t="n">
        <v>182</v>
      </c>
      <c r="K24" s="16">
        <f>IF(J24="","",J24-I24)</f>
        <v/>
      </c>
      <c r="L24" s="17">
        <f>IF(K24="","",MAX(K24*IFERROR(VLOOKUP(A24,ผู้เช่า!$A:$N,10,0),0),IFERROR(VLOOKUP(A24,ผู้เช่า!$A:$N,14,0),0)))</f>
        <v/>
      </c>
      <c r="M24" s="13">
        <f>IFERROR(VLOOKUP(A24,ผู้เช่า!$A:$N,7,0),0)</f>
        <v/>
      </c>
      <c r="N24" s="13">
        <f>IFERROR(VLOOKUP(A24,ผู้เช่า!$A:$N,8,0),0)</f>
        <v/>
      </c>
      <c r="O24" s="18" t="n">
        <v>150</v>
      </c>
      <c r="P24" s="19">
        <f>SUM(C24,D24,H24,L24,M24,N24,O24)</f>
        <v/>
      </c>
    </row>
    <row r="25">
      <c r="A25" s="11" t="n">
        <v>303</v>
      </c>
      <c r="B25" s="12">
        <f>IFERROR(VLOOKUP(A25,ผู้เช่า!$A:$N,2,0),"")</f>
        <v/>
      </c>
      <c r="C25" s="13">
        <f>IFERROR(VLOOKUP(A25,ผู้เช่า!$A:$N,5,0),0)</f>
        <v/>
      </c>
      <c r="D25" s="13">
        <f>IFERROR(VLOOKUP(A25,ผู้เช่า!$A:$N,6,0),0)</f>
        <v/>
      </c>
      <c r="E25" s="14" t="n">
        <v>3582</v>
      </c>
      <c r="F25" s="15" t="n">
        <v>3640</v>
      </c>
      <c r="G25" s="16">
        <f>IF(F25="","",F25-E25)</f>
        <v/>
      </c>
      <c r="H25" s="17">
        <f>IF(G25="","",G25*IFERROR(VLOOKUP(A25,ผู้เช่า!$A:$N,9,0),0))</f>
        <v/>
      </c>
      <c r="I25" s="14" t="n">
        <v>43</v>
      </c>
      <c r="J25" s="15" t="n">
        <v>44</v>
      </c>
      <c r="K25" s="16">
        <f>IF(J25="","",J25-I25)</f>
        <v/>
      </c>
      <c r="L25" s="17">
        <f>IF(K25="","",MAX(K25*IFERROR(VLOOKUP(A25,ผู้เช่า!$A:$N,10,0),0),IFERROR(VLOOKUP(A25,ผู้เช่า!$A:$N,14,0),0)))</f>
        <v/>
      </c>
      <c r="M25" s="13">
        <f>IFERROR(VLOOKUP(A25,ผู้เช่า!$A:$N,7,0),0)</f>
        <v/>
      </c>
      <c r="N25" s="13">
        <f>IFERROR(VLOOKUP(A25,ผู้เช่า!$A:$N,8,0),0)</f>
        <v/>
      </c>
      <c r="O25" s="18" t="n">
        <v>0</v>
      </c>
      <c r="P25" s="19">
        <f>SUM(C25,D25,H25,L25,M25,N25,O25)</f>
        <v/>
      </c>
    </row>
    <row r="26">
      <c r="A26" s="11" t="n">
        <v>304</v>
      </c>
      <c r="B26" s="12">
        <f>IFERROR(VLOOKUP(A26,ผู้เช่า!$A:$N,2,0),"")</f>
        <v/>
      </c>
      <c r="C26" s="13">
        <f>IFERROR(VLOOKUP(A26,ผู้เช่า!$A:$N,5,0),0)</f>
        <v/>
      </c>
      <c r="D26" s="13">
        <f>IFERROR(VLOOKUP(A26,ผู้เช่า!$A:$N,6,0),0)</f>
        <v/>
      </c>
      <c r="E26" s="14" t="n">
        <v>8930</v>
      </c>
      <c r="F26" s="15" t="n">
        <v>9162</v>
      </c>
      <c r="G26" s="16">
        <f>IF(F26="","",F26-E26)</f>
        <v/>
      </c>
      <c r="H26" s="17">
        <f>IF(G26="","",G26*IFERROR(VLOOKUP(A26,ผู้เช่า!$A:$N,9,0),0))</f>
        <v/>
      </c>
      <c r="I26" s="14" t="n">
        <v>199</v>
      </c>
      <c r="J26" s="15" t="n">
        <v>204</v>
      </c>
      <c r="K26" s="16">
        <f>IF(J26="","",J26-I26)</f>
        <v/>
      </c>
      <c r="L26" s="17">
        <f>IF(K26="","",MAX(K26*IFERROR(VLOOKUP(A26,ผู้เช่า!$A:$N,10,0),0),IFERROR(VLOOKUP(A26,ผู้เช่า!$A:$N,14,0),0)))</f>
        <v/>
      </c>
      <c r="M26" s="13">
        <f>IFERROR(VLOOKUP(A26,ผู้เช่า!$A:$N,7,0),0)</f>
        <v/>
      </c>
      <c r="N26" s="13">
        <f>IFERROR(VLOOKUP(A26,ผู้เช่า!$A:$N,8,0),0)</f>
        <v/>
      </c>
      <c r="O26" s="18" t="n">
        <v>0</v>
      </c>
      <c r="P26" s="19">
        <f>SUM(C26,D26,H26,L26,M26,N26,O26)</f>
        <v/>
      </c>
    </row>
    <row r="27">
      <c r="A27" s="11" t="n">
        <v>305</v>
      </c>
      <c r="B27" s="12">
        <f>IFERROR(VLOOKUP(A27,ผู้เช่า!$A:$N,2,0),"")</f>
        <v/>
      </c>
      <c r="C27" s="13">
        <f>IFERROR(VLOOKUP(A27,ผู้เช่า!$A:$N,5,0),0)</f>
        <v/>
      </c>
      <c r="D27" s="13">
        <f>IFERROR(VLOOKUP(A27,ผู้เช่า!$A:$N,6,0),0)</f>
        <v/>
      </c>
      <c r="E27" s="14" t="n">
        <v>6520</v>
      </c>
      <c r="F27" s="15" t="n">
        <v>6528</v>
      </c>
      <c r="G27" s="16">
        <f>IF(F27="","",F27-E27)</f>
        <v/>
      </c>
      <c r="H27" s="17">
        <f>IF(G27="","",G27*IFERROR(VLOOKUP(A27,ผู้เช่า!$A:$N,9,0),0))</f>
        <v/>
      </c>
      <c r="I27" s="14" t="n">
        <v>304</v>
      </c>
      <c r="J27" s="15" t="n">
        <v>309</v>
      </c>
      <c r="K27" s="16">
        <f>IF(J27="","",J27-I27)</f>
        <v/>
      </c>
      <c r="L27" s="17">
        <f>IF(K27="","",MAX(K27*IFERROR(VLOOKUP(A27,ผู้เช่า!$A:$N,10,0),0),IFERROR(VLOOKUP(A27,ผู้เช่า!$A:$N,14,0),0)))</f>
        <v/>
      </c>
      <c r="M27" s="13">
        <f>IFERROR(VLOOKUP(A27,ผู้เช่า!$A:$N,7,0),0)</f>
        <v/>
      </c>
      <c r="N27" s="13">
        <f>IFERROR(VLOOKUP(A27,ผู้เช่า!$A:$N,8,0),0)</f>
        <v/>
      </c>
      <c r="O27" s="18" t="n">
        <v>0</v>
      </c>
      <c r="P27" s="19">
        <f>SUM(C27,D27,H27,L27,M27,N27,O27)</f>
        <v/>
      </c>
    </row>
    <row r="28">
      <c r="A28" s="11" t="n">
        <v>306</v>
      </c>
      <c r="B28" s="12">
        <f>IFERROR(VLOOKUP(A28,ผู้เช่า!$A:$N,2,0),"")</f>
        <v/>
      </c>
      <c r="C28" s="13">
        <f>IFERROR(VLOOKUP(A28,ผู้เช่า!$A:$N,5,0),0)</f>
        <v/>
      </c>
      <c r="D28" s="13">
        <f>IFERROR(VLOOKUP(A28,ผู้เช่า!$A:$N,6,0),0)</f>
        <v/>
      </c>
      <c r="E28" s="14" t="n">
        <v>4924</v>
      </c>
      <c r="F28" s="15" t="n">
        <v>5102</v>
      </c>
      <c r="G28" s="16">
        <f>IF(F28="","",F28-E28)</f>
        <v/>
      </c>
      <c r="H28" s="17">
        <f>IF(G28="","",G28*IFERROR(VLOOKUP(A28,ผู้เช่า!$A:$N,9,0),0))</f>
        <v/>
      </c>
      <c r="I28" s="14" t="n">
        <v>326</v>
      </c>
      <c r="J28" s="15" t="n">
        <v>328</v>
      </c>
      <c r="K28" s="16">
        <f>IF(J28="","",J28-I28)</f>
        <v/>
      </c>
      <c r="L28" s="17">
        <f>IF(K28="","",MAX(K28*IFERROR(VLOOKUP(A28,ผู้เช่า!$A:$N,10,0),0),IFERROR(VLOOKUP(A28,ผู้เช่า!$A:$N,14,0),0)))</f>
        <v/>
      </c>
      <c r="M28" s="13">
        <f>IFERROR(VLOOKUP(A28,ผู้เช่า!$A:$N,7,0),0)</f>
        <v/>
      </c>
      <c r="N28" s="13">
        <f>IFERROR(VLOOKUP(A28,ผู้เช่า!$A:$N,8,0),0)</f>
        <v/>
      </c>
      <c r="O28" s="18" t="n">
        <v>250</v>
      </c>
      <c r="P28" s="19">
        <f>SUM(C28,D28,H28,L28,M28,N28,O28)</f>
        <v/>
      </c>
    </row>
    <row r="29">
      <c r="A29" s="11" t="n">
        <v>307</v>
      </c>
      <c r="B29" s="12">
        <f>IFERROR(VLOOKUP(A29,ผู้เช่า!$A:$N,2,0),"")</f>
        <v/>
      </c>
      <c r="C29" s="13">
        <f>IFERROR(VLOOKUP(A29,ผู้เช่า!$A:$N,5,0),0)</f>
        <v/>
      </c>
      <c r="D29" s="13">
        <f>IFERROR(VLOOKUP(A29,ผู้เช่า!$A:$N,6,0),0)</f>
        <v/>
      </c>
      <c r="E29" s="14" t="n">
        <v>3580</v>
      </c>
      <c r="F29" s="15" t="n">
        <v>3681</v>
      </c>
      <c r="G29" s="16">
        <f>IF(F29="","",F29-E29)</f>
        <v/>
      </c>
      <c r="H29" s="17">
        <f>IF(G29="","",G29*IFERROR(VLOOKUP(A29,ผู้เช่า!$A:$N,9,0),0))</f>
        <v/>
      </c>
      <c r="I29" s="14" t="n">
        <v>314</v>
      </c>
      <c r="J29" s="15" t="n">
        <v>319</v>
      </c>
      <c r="K29" s="16">
        <f>IF(J29="","",J29-I29)</f>
        <v/>
      </c>
      <c r="L29" s="17">
        <f>IF(K29="","",MAX(K29*IFERROR(VLOOKUP(A29,ผู้เช่า!$A:$N,10,0),0),IFERROR(VLOOKUP(A29,ผู้เช่า!$A:$N,14,0),0)))</f>
        <v/>
      </c>
      <c r="M29" s="13">
        <f>IFERROR(VLOOKUP(A29,ผู้เช่า!$A:$N,7,0),0)</f>
        <v/>
      </c>
      <c r="N29" s="13">
        <f>IFERROR(VLOOKUP(A29,ผู้เช่า!$A:$N,8,0),0)</f>
        <v/>
      </c>
      <c r="O29" s="18" t="n">
        <v>250</v>
      </c>
      <c r="P29" s="19">
        <f>SUM(C29,D29,H29,L29,M29,N29,O29)</f>
        <v/>
      </c>
    </row>
    <row r="30">
      <c r="A30" s="11" t="n">
        <v>308</v>
      </c>
      <c r="B30" s="12">
        <f>IFERROR(VLOOKUP(A30,ผู้เช่า!$A:$N,2,0),"")</f>
        <v/>
      </c>
      <c r="C30" s="13">
        <f>IFERROR(VLOOKUP(A30,ผู้เช่า!$A:$N,5,0),0)</f>
        <v/>
      </c>
      <c r="D30" s="13">
        <f>IFERROR(VLOOKUP(A30,ผู้เช่า!$A:$N,6,0),0)</f>
        <v/>
      </c>
      <c r="E30" s="14" t="n">
        <v>60</v>
      </c>
      <c r="F30" s="15" t="n">
        <v>82</v>
      </c>
      <c r="G30" s="16">
        <f>IF(F30="","",F30-E30)</f>
        <v/>
      </c>
      <c r="H30" s="17">
        <f>IF(G30="","",G30*IFERROR(VLOOKUP(A30,ผู้เช่า!$A:$N,9,0),0))</f>
        <v/>
      </c>
      <c r="I30" s="14" t="n">
        <v>392</v>
      </c>
      <c r="J30" s="15" t="n">
        <v>397</v>
      </c>
      <c r="K30" s="16">
        <f>IF(J30="","",J30-I30)</f>
        <v/>
      </c>
      <c r="L30" s="17">
        <f>IF(K30="","",MAX(K30*IFERROR(VLOOKUP(A30,ผู้เช่า!$A:$N,10,0),0),IFERROR(VLOOKUP(A30,ผู้เช่า!$A:$N,14,0),0)))</f>
        <v/>
      </c>
      <c r="M30" s="13">
        <f>IFERROR(VLOOKUP(A30,ผู้เช่า!$A:$N,7,0),0)</f>
        <v/>
      </c>
      <c r="N30" s="13">
        <f>IFERROR(VLOOKUP(A30,ผู้เช่า!$A:$N,8,0),0)</f>
        <v/>
      </c>
      <c r="O30" s="18" t="n">
        <v>0</v>
      </c>
      <c r="P30" s="19">
        <f>SUM(C30,D30,H30,L30,M30,N30,O30)</f>
        <v/>
      </c>
    </row>
    <row r="31">
      <c r="A31" s="11" t="n">
        <v>309</v>
      </c>
      <c r="B31" s="12">
        <f>IFERROR(VLOOKUP(A31,ผู้เช่า!$A:$N,2,0),"")</f>
        <v/>
      </c>
      <c r="C31" s="13">
        <f>IFERROR(VLOOKUP(A31,ผู้เช่า!$A:$N,5,0),0)</f>
        <v/>
      </c>
      <c r="D31" s="13">
        <f>IFERROR(VLOOKUP(A31,ผู้เช่า!$A:$N,6,0),0)</f>
        <v/>
      </c>
      <c r="E31" s="14" t="n">
        <v>1942</v>
      </c>
      <c r="F31" s="15" t="n">
        <v>2050</v>
      </c>
      <c r="G31" s="16">
        <f>IF(F31="","",F31-E31)</f>
        <v/>
      </c>
      <c r="H31" s="17">
        <f>IF(G31="","",G31*IFERROR(VLOOKUP(A31,ผู้เช่า!$A:$N,9,0),0))</f>
        <v/>
      </c>
      <c r="I31" s="14" t="n">
        <v>534</v>
      </c>
      <c r="J31" s="15" t="n">
        <v>539</v>
      </c>
      <c r="K31" s="16">
        <f>IF(J31="","",J31-I31)</f>
        <v/>
      </c>
      <c r="L31" s="17">
        <f>IF(K31="","",MAX(K31*IFERROR(VLOOKUP(A31,ผู้เช่า!$A:$N,10,0),0),IFERROR(VLOOKUP(A31,ผู้เช่า!$A:$N,14,0),0)))</f>
        <v/>
      </c>
      <c r="M31" s="13">
        <f>IFERROR(VLOOKUP(A31,ผู้เช่า!$A:$N,7,0),0)</f>
        <v/>
      </c>
      <c r="N31" s="13">
        <f>IFERROR(VLOOKUP(A31,ผู้เช่า!$A:$N,8,0),0)</f>
        <v/>
      </c>
      <c r="O31" s="18" t="n">
        <v>0</v>
      </c>
      <c r="P31" s="19">
        <f>SUM(C31,D31,H31,L31,M31,N31,O31)</f>
        <v/>
      </c>
    </row>
    <row r="32">
      <c r="A32" s="11" t="n">
        <v>310</v>
      </c>
      <c r="B32" s="12">
        <f>IFERROR(VLOOKUP(A32,ผู้เช่า!$A:$N,2,0),"")</f>
        <v/>
      </c>
      <c r="C32" s="13">
        <f>IFERROR(VLOOKUP(A32,ผู้เช่า!$A:$N,5,0),0)</f>
        <v/>
      </c>
      <c r="D32" s="13">
        <f>IFERROR(VLOOKUP(A32,ผู้เช่า!$A:$N,6,0),0)</f>
        <v/>
      </c>
      <c r="E32" s="14" t="n">
        <v>8845</v>
      </c>
      <c r="F32" s="15" t="n">
        <v>9068</v>
      </c>
      <c r="G32" s="16">
        <f>IF(F32="","",F32-E32)</f>
        <v/>
      </c>
      <c r="H32" s="17">
        <f>IF(G32="","",G32*IFERROR(VLOOKUP(A32,ผู้เช่า!$A:$N,9,0),0))</f>
        <v/>
      </c>
      <c r="I32" s="14" t="n">
        <v>400</v>
      </c>
      <c r="J32" s="15" t="n">
        <v>405</v>
      </c>
      <c r="K32" s="16">
        <f>IF(J32="","",J32-I32)</f>
        <v/>
      </c>
      <c r="L32" s="17">
        <f>IF(K32="","",MAX(K32*IFERROR(VLOOKUP(A32,ผู้เช่า!$A:$N,10,0),0),IFERROR(VLOOKUP(A32,ผู้เช่า!$A:$N,14,0),0)))</f>
        <v/>
      </c>
      <c r="M32" s="13">
        <f>IFERROR(VLOOKUP(A32,ผู้เช่า!$A:$N,7,0),0)</f>
        <v/>
      </c>
      <c r="N32" s="13">
        <f>IFERROR(VLOOKUP(A32,ผู้เช่า!$A:$N,8,0),0)</f>
        <v/>
      </c>
      <c r="O32" s="18" t="n">
        <v>0</v>
      </c>
      <c r="P32" s="19">
        <f>SUM(C32,D32,H32,L32,M32,N32,O32)</f>
        <v/>
      </c>
    </row>
    <row r="33">
      <c r="A33" s="11" t="n">
        <v>311</v>
      </c>
      <c r="B33" s="12">
        <f>IFERROR(VLOOKUP(A33,ผู้เช่า!$A:$N,2,0),"")</f>
        <v/>
      </c>
      <c r="C33" s="13">
        <f>IFERROR(VLOOKUP(A33,ผู้เช่า!$A:$N,5,0),0)</f>
        <v/>
      </c>
      <c r="D33" s="13">
        <f>IFERROR(VLOOKUP(A33,ผู้เช่า!$A:$N,6,0),0)</f>
        <v/>
      </c>
      <c r="E33" s="14" t="n">
        <v>6082</v>
      </c>
      <c r="F33" s="15" t="n">
        <v>6223</v>
      </c>
      <c r="G33" s="16">
        <f>IF(F33="","",F33-E33)</f>
        <v/>
      </c>
      <c r="H33" s="17">
        <f>IF(G33="","",G33*IFERROR(VLOOKUP(A33,ผู้เช่า!$A:$N,9,0),0))</f>
        <v/>
      </c>
      <c r="I33" s="14" t="n">
        <v>182</v>
      </c>
      <c r="J33" s="15" t="n">
        <v>187</v>
      </c>
      <c r="K33" s="16">
        <f>IF(J33="","",J33-I33)</f>
        <v/>
      </c>
      <c r="L33" s="17">
        <f>IF(K33="","",MAX(K33*IFERROR(VLOOKUP(A33,ผู้เช่า!$A:$N,10,0),0),IFERROR(VLOOKUP(A33,ผู้เช่า!$A:$N,14,0),0)))</f>
        <v/>
      </c>
      <c r="M33" s="13">
        <f>IFERROR(VLOOKUP(A33,ผู้เช่า!$A:$N,7,0),0)</f>
        <v/>
      </c>
      <c r="N33" s="13">
        <f>IFERROR(VLOOKUP(A33,ผู้เช่า!$A:$N,8,0),0)</f>
        <v/>
      </c>
      <c r="O33" s="18" t="n">
        <v>500</v>
      </c>
      <c r="P33" s="19">
        <f>SUM(C33,D33,H33,L33,M33,N33,O33)</f>
        <v/>
      </c>
    </row>
    <row r="34">
      <c r="A34" s="11" t="n">
        <v>312</v>
      </c>
      <c r="B34" s="12">
        <f>IFERROR(VLOOKUP(A34,ผู้เช่า!$A:$N,2,0),"")</f>
        <v/>
      </c>
      <c r="C34" s="13">
        <f>IFERROR(VLOOKUP(A34,ผู้เช่า!$A:$N,5,0),0)</f>
        <v/>
      </c>
      <c r="D34" s="13">
        <f>IFERROR(VLOOKUP(A34,ผู้เช่า!$A:$N,6,0),0)</f>
        <v/>
      </c>
      <c r="E34" s="14" t="n">
        <v>2617</v>
      </c>
      <c r="F34" s="15" t="n">
        <v>2708</v>
      </c>
      <c r="G34" s="16">
        <f>IF(F34="","",F34-E34)</f>
        <v/>
      </c>
      <c r="H34" s="17">
        <f>IF(G34="","",G34*IFERROR(VLOOKUP(A34,ผู้เช่า!$A:$N,9,0),0))</f>
        <v/>
      </c>
      <c r="I34" s="14" t="n">
        <v>260</v>
      </c>
      <c r="J34" s="15" t="n">
        <v>261</v>
      </c>
      <c r="K34" s="16">
        <f>IF(J34="","",J34-I34)</f>
        <v/>
      </c>
      <c r="L34" s="17">
        <f>IF(K34="","",MAX(K34*IFERROR(VLOOKUP(A34,ผู้เช่า!$A:$N,10,0),0),IFERROR(VLOOKUP(A34,ผู้เช่า!$A:$N,14,0),0)))</f>
        <v/>
      </c>
      <c r="M34" s="13">
        <f>IFERROR(VLOOKUP(A34,ผู้เช่า!$A:$N,7,0),0)</f>
        <v/>
      </c>
      <c r="N34" s="13">
        <f>IFERROR(VLOOKUP(A34,ผู้เช่า!$A:$N,8,0),0)</f>
        <v/>
      </c>
      <c r="O34" s="18" t="n">
        <v>0</v>
      </c>
      <c r="P34" s="19">
        <f>SUM(C34,D34,H34,L34,M34,N34,O34)</f>
        <v/>
      </c>
    </row>
    <row r="35">
      <c r="A35" s="11" t="n">
        <v>313</v>
      </c>
      <c r="B35" s="12">
        <f>IFERROR(VLOOKUP(A35,ผู้เช่า!$A:$N,2,0),"")</f>
        <v/>
      </c>
      <c r="C35" s="13">
        <f>IFERROR(VLOOKUP(A35,ผู้เช่า!$A:$N,5,0),0)</f>
        <v/>
      </c>
      <c r="D35" s="13">
        <f>IFERROR(VLOOKUP(A35,ผู้เช่า!$A:$N,6,0),0)</f>
        <v/>
      </c>
      <c r="E35" s="14" t="n"/>
      <c r="F35" s="15" t="n"/>
      <c r="G35" s="16">
        <f>IF(F35="","",F35-E35)</f>
        <v/>
      </c>
      <c r="H35" s="17">
        <f>IF(G35="","",G35*IFERROR(VLOOKUP(A35,ผู้เช่า!$A:$N,9,0),0))</f>
        <v/>
      </c>
      <c r="I35" s="14" t="n"/>
      <c r="J35" s="15" t="n"/>
      <c r="K35" s="16">
        <f>IF(J35="","",J35-I35)</f>
        <v/>
      </c>
      <c r="L35" s="17">
        <f>IF(K35="","",MAX(K35*IFERROR(VLOOKUP(A35,ผู้เช่า!$A:$N,10,0),0),IFERROR(VLOOKUP(A35,ผู้เช่า!$A:$N,14,0),0)))</f>
        <v/>
      </c>
      <c r="M35" s="13">
        <f>IFERROR(VLOOKUP(A35,ผู้เช่า!$A:$N,7,0),0)</f>
        <v/>
      </c>
      <c r="N35" s="13">
        <f>IFERROR(VLOOKUP(A35,ผู้เช่า!$A:$N,8,0),0)</f>
        <v/>
      </c>
      <c r="O35" s="18" t="n">
        <v>0</v>
      </c>
      <c r="P35" s="19">
        <f>SUM(C35,D35,H35,L35,M35,N35,O35)</f>
        <v/>
      </c>
    </row>
    <row r="36">
      <c r="A36" s="11" t="n">
        <v>314</v>
      </c>
      <c r="B36" s="12">
        <f>IFERROR(VLOOKUP(A36,ผู้เช่า!$A:$N,2,0),"")</f>
        <v/>
      </c>
      <c r="C36" s="13">
        <f>IFERROR(VLOOKUP(A36,ผู้เช่า!$A:$N,5,0),0)</f>
        <v/>
      </c>
      <c r="D36" s="13">
        <f>IFERROR(VLOOKUP(A36,ผู้เช่า!$A:$N,6,0),0)</f>
        <v/>
      </c>
      <c r="E36" s="14" t="n">
        <v>7740</v>
      </c>
      <c r="F36" s="15" t="n">
        <v>7783</v>
      </c>
      <c r="G36" s="16">
        <f>IF(F36="","",F36-E36)</f>
        <v/>
      </c>
      <c r="H36" s="17">
        <f>IF(G36="","",G36*IFERROR(VLOOKUP(A36,ผู้เช่า!$A:$N,9,0),0))</f>
        <v/>
      </c>
      <c r="I36" s="14" t="n">
        <v>312</v>
      </c>
      <c r="J36" s="15" t="n">
        <v>317</v>
      </c>
      <c r="K36" s="16">
        <f>IF(J36="","",J36-I36)</f>
        <v/>
      </c>
      <c r="L36" s="17">
        <f>IF(K36="","",MAX(K36*IFERROR(VLOOKUP(A36,ผู้เช่า!$A:$N,10,0),0),IFERROR(VLOOKUP(A36,ผู้เช่า!$A:$N,14,0),0)))</f>
        <v/>
      </c>
      <c r="M36" s="13">
        <f>IFERROR(VLOOKUP(A36,ผู้เช่า!$A:$N,7,0),0)</f>
        <v/>
      </c>
      <c r="N36" s="13">
        <f>IFERROR(VLOOKUP(A36,ผู้เช่า!$A:$N,8,0),0)</f>
        <v/>
      </c>
      <c r="O36" s="18" t="n">
        <v>250</v>
      </c>
      <c r="P36" s="19">
        <f>SUM(C36,D36,H36,L36,M36,N36,O36)</f>
        <v/>
      </c>
    </row>
    <row r="37">
      <c r="A37" s="11" t="n">
        <v>315</v>
      </c>
      <c r="B37" s="12">
        <f>IFERROR(VLOOKUP(A37,ผู้เช่า!$A:$N,2,0),"")</f>
        <v/>
      </c>
      <c r="C37" s="13">
        <f>IFERROR(VLOOKUP(A37,ผู้เช่า!$A:$N,5,0),0)</f>
        <v/>
      </c>
      <c r="D37" s="13">
        <f>IFERROR(VLOOKUP(A37,ผู้เช่า!$A:$N,6,0),0)</f>
        <v/>
      </c>
      <c r="E37" s="14" t="n">
        <v>6422</v>
      </c>
      <c r="F37" s="15" t="n">
        <v>6637</v>
      </c>
      <c r="G37" s="16">
        <f>IF(F37="","",F37-E37)</f>
        <v/>
      </c>
      <c r="H37" s="17">
        <f>IF(G37="","",G37*IFERROR(VLOOKUP(A37,ผู้เช่า!$A:$N,9,0),0))</f>
        <v/>
      </c>
      <c r="I37" s="14" t="n">
        <v>226</v>
      </c>
      <c r="J37" s="15" t="n">
        <v>231</v>
      </c>
      <c r="K37" s="16">
        <f>IF(J37="","",J37-I37)</f>
        <v/>
      </c>
      <c r="L37" s="17">
        <f>IF(K37="","",MAX(K37*IFERROR(VLOOKUP(A37,ผู้เช่า!$A:$N,10,0),0),IFERROR(VLOOKUP(A37,ผู้เช่า!$A:$N,14,0),0)))</f>
        <v/>
      </c>
      <c r="M37" s="13">
        <f>IFERROR(VLOOKUP(A37,ผู้เช่า!$A:$N,7,0),0)</f>
        <v/>
      </c>
      <c r="N37" s="13">
        <f>IFERROR(VLOOKUP(A37,ผู้เช่า!$A:$N,8,0),0)</f>
        <v/>
      </c>
      <c r="O37" s="18" t="n">
        <v>150</v>
      </c>
      <c r="P37" s="19">
        <f>SUM(C37,D37,H37,L37,M37,N37,O37)</f>
        <v/>
      </c>
    </row>
    <row r="38">
      <c r="A38" s="11" t="n">
        <v>316</v>
      </c>
      <c r="B38" s="12">
        <f>IFERROR(VLOOKUP(A38,ผู้เช่า!$A:$N,2,0),"")</f>
        <v/>
      </c>
      <c r="C38" s="13">
        <f>IFERROR(VLOOKUP(A38,ผู้เช่า!$A:$N,5,0),0)</f>
        <v/>
      </c>
      <c r="D38" s="13">
        <f>IFERROR(VLOOKUP(A38,ผู้เช่า!$A:$N,6,0),0)</f>
        <v/>
      </c>
      <c r="E38" s="14" t="n">
        <v>9923</v>
      </c>
      <c r="F38" s="15" t="n">
        <v>9984</v>
      </c>
      <c r="G38" s="16">
        <f>IF(F38="","",F38-E38)</f>
        <v/>
      </c>
      <c r="H38" s="17">
        <f>IF(G38="","",G38*IFERROR(VLOOKUP(A38,ผู้เช่า!$A:$N,9,0),0))</f>
        <v/>
      </c>
      <c r="I38" s="14" t="n">
        <v>334</v>
      </c>
      <c r="J38" s="15" t="n">
        <v>339</v>
      </c>
      <c r="K38" s="16">
        <f>IF(J38="","",J38-I38)</f>
        <v/>
      </c>
      <c r="L38" s="17">
        <f>IF(K38="","",MAX(K38*IFERROR(VLOOKUP(A38,ผู้เช่า!$A:$N,10,0),0),IFERROR(VLOOKUP(A38,ผู้เช่า!$A:$N,14,0),0)))</f>
        <v/>
      </c>
      <c r="M38" s="13">
        <f>IFERROR(VLOOKUP(A38,ผู้เช่า!$A:$N,7,0),0)</f>
        <v/>
      </c>
      <c r="N38" s="13">
        <f>IFERROR(VLOOKUP(A38,ผู้เช่า!$A:$N,8,0),0)</f>
        <v/>
      </c>
      <c r="O38" s="18" t="n">
        <v>0</v>
      </c>
      <c r="P38" s="19">
        <f>SUM(C38,D38,H38,L38,M38,N38,O38)</f>
        <v/>
      </c>
    </row>
    <row r="39">
      <c r="A39" s="11" t="n">
        <v>317</v>
      </c>
      <c r="B39" s="12">
        <f>IFERROR(VLOOKUP(A39,ผู้เช่า!$A:$N,2,0),"")</f>
        <v/>
      </c>
      <c r="C39" s="13">
        <f>IFERROR(VLOOKUP(A39,ผู้เช่า!$A:$N,5,0),0)</f>
        <v/>
      </c>
      <c r="D39" s="13">
        <f>IFERROR(VLOOKUP(A39,ผู้เช่า!$A:$N,6,0),0)</f>
        <v/>
      </c>
      <c r="E39" s="14" t="n"/>
      <c r="F39" s="15" t="n"/>
      <c r="G39" s="16">
        <f>IF(F39="","",F39-E39)</f>
        <v/>
      </c>
      <c r="H39" s="17">
        <f>IF(G39="","",G39*IFERROR(VLOOKUP(A39,ผู้เช่า!$A:$N,9,0),0))</f>
        <v/>
      </c>
      <c r="I39" s="14" t="n"/>
      <c r="J39" s="15" t="n"/>
      <c r="K39" s="16">
        <f>IF(J39="","",J39-I39)</f>
        <v/>
      </c>
      <c r="L39" s="17">
        <f>IF(K39="","",MAX(K39*IFERROR(VLOOKUP(A39,ผู้เช่า!$A:$N,10,0),0),IFERROR(VLOOKUP(A39,ผู้เช่า!$A:$N,14,0),0)))</f>
        <v/>
      </c>
      <c r="M39" s="13">
        <f>IFERROR(VLOOKUP(A39,ผู้เช่า!$A:$N,7,0),0)</f>
        <v/>
      </c>
      <c r="N39" s="13">
        <f>IFERROR(VLOOKUP(A39,ผู้เช่า!$A:$N,8,0),0)</f>
        <v/>
      </c>
      <c r="O39" s="18" t="n">
        <v>0</v>
      </c>
      <c r="P39" s="19">
        <f>SUM(C39,D39,H39,L39,M39,N39,O39)</f>
        <v/>
      </c>
    </row>
    <row r="40">
      <c r="A40" s="11" t="n">
        <v>318</v>
      </c>
      <c r="B40" s="12">
        <f>IFERROR(VLOOKUP(A40,ผู้เช่า!$A:$N,2,0),"")</f>
        <v/>
      </c>
      <c r="C40" s="13">
        <f>IFERROR(VLOOKUP(A40,ผู้เช่า!$A:$N,5,0),0)</f>
        <v/>
      </c>
      <c r="D40" s="13">
        <f>IFERROR(VLOOKUP(A40,ผู้เช่า!$A:$N,6,0),0)</f>
        <v/>
      </c>
      <c r="E40" s="14" t="n">
        <v>1656</v>
      </c>
      <c r="F40" s="15" t="n">
        <v>1732</v>
      </c>
      <c r="G40" s="16">
        <f>IF(F40="","",F40-E40)</f>
        <v/>
      </c>
      <c r="H40" s="17">
        <f>IF(G40="","",G40*IFERROR(VLOOKUP(A40,ผู้เช่า!$A:$N,9,0),0))</f>
        <v/>
      </c>
      <c r="I40" s="14" t="n">
        <v>220</v>
      </c>
      <c r="J40" s="15" t="n">
        <v>223</v>
      </c>
      <c r="K40" s="16">
        <f>IF(J40="","",J40-I40)</f>
        <v/>
      </c>
      <c r="L40" s="17">
        <f>IF(K40="","",MAX(K40*IFERROR(VLOOKUP(A40,ผู้เช่า!$A:$N,10,0),0),IFERROR(VLOOKUP(A40,ผู้เช่า!$A:$N,14,0),0)))</f>
        <v/>
      </c>
      <c r="M40" s="13">
        <f>IFERROR(VLOOKUP(A40,ผู้เช่า!$A:$N,7,0),0)</f>
        <v/>
      </c>
      <c r="N40" s="13">
        <f>IFERROR(VLOOKUP(A40,ผู้เช่า!$A:$N,8,0),0)</f>
        <v/>
      </c>
      <c r="O40" s="18" t="n">
        <v>0</v>
      </c>
      <c r="P40" s="19">
        <f>SUM(C40,D40,H40,L40,M40,N40,O40)</f>
        <v/>
      </c>
    </row>
    <row r="41">
      <c r="A41" s="11" t="n">
        <v>401</v>
      </c>
      <c r="B41" s="12">
        <f>IFERROR(VLOOKUP(A41,ผู้เช่า!$A:$N,2,0),"")</f>
        <v/>
      </c>
      <c r="C41" s="13">
        <f>IFERROR(VLOOKUP(A41,ผู้เช่า!$A:$N,5,0),0)</f>
        <v/>
      </c>
      <c r="D41" s="13">
        <f>IFERROR(VLOOKUP(A41,ผู้เช่า!$A:$N,6,0),0)</f>
        <v/>
      </c>
      <c r="E41" s="14" t="n">
        <v>5901</v>
      </c>
      <c r="F41" s="15" t="n">
        <v>6153</v>
      </c>
      <c r="G41" s="16">
        <f>IF(F41="","",F41-E41)</f>
        <v/>
      </c>
      <c r="H41" s="17">
        <f>IF(G41="","",G41*IFERROR(VLOOKUP(A41,ผู้เช่า!$A:$N,9,0),0))</f>
        <v/>
      </c>
      <c r="I41" s="14" t="n">
        <v>377</v>
      </c>
      <c r="J41" s="15" t="n">
        <v>378</v>
      </c>
      <c r="K41" s="16">
        <f>IF(J41="","",J41-I41)</f>
        <v/>
      </c>
      <c r="L41" s="17">
        <f>IF(K41="","",MAX(K41*IFERROR(VLOOKUP(A41,ผู้เช่า!$A:$N,10,0),0),IFERROR(VLOOKUP(A41,ผู้เช่า!$A:$N,14,0),0)))</f>
        <v/>
      </c>
      <c r="M41" s="13">
        <f>IFERROR(VLOOKUP(A41,ผู้เช่า!$A:$N,7,0),0)</f>
        <v/>
      </c>
      <c r="N41" s="13">
        <f>IFERROR(VLOOKUP(A41,ผู้เช่า!$A:$N,8,0),0)</f>
        <v/>
      </c>
      <c r="O41" s="18" t="n">
        <v>250</v>
      </c>
      <c r="P41" s="19">
        <f>SUM(C41,D41,H41,L41,M41,N41,O41)</f>
        <v/>
      </c>
    </row>
    <row r="42">
      <c r="A42" s="11" t="n">
        <v>402</v>
      </c>
      <c r="B42" s="12">
        <f>IFERROR(VLOOKUP(A42,ผู้เช่า!$A:$N,2,0),"")</f>
        <v/>
      </c>
      <c r="C42" s="13">
        <f>IFERROR(VLOOKUP(A42,ผู้เช่า!$A:$N,5,0),0)</f>
        <v/>
      </c>
      <c r="D42" s="13">
        <f>IFERROR(VLOOKUP(A42,ผู้เช่า!$A:$N,6,0),0)</f>
        <v/>
      </c>
      <c r="E42" s="14" t="n">
        <v>7864</v>
      </c>
      <c r="F42" s="15" t="n">
        <v>8226</v>
      </c>
      <c r="G42" s="16">
        <f>IF(F42="","",F42-E42)</f>
        <v/>
      </c>
      <c r="H42" s="17">
        <f>IF(G42="","",G42*IFERROR(VLOOKUP(A42,ผู้เช่า!$A:$N,9,0),0))</f>
        <v/>
      </c>
      <c r="I42" s="14" t="n">
        <v>432</v>
      </c>
      <c r="J42" s="15" t="n">
        <v>441</v>
      </c>
      <c r="K42" s="16">
        <f>IF(J42="","",J42-I42)</f>
        <v/>
      </c>
      <c r="L42" s="17">
        <f>IF(K42="","",MAX(K42*IFERROR(VLOOKUP(A42,ผู้เช่า!$A:$N,10,0),0),IFERROR(VLOOKUP(A42,ผู้เช่า!$A:$N,14,0),0)))</f>
        <v/>
      </c>
      <c r="M42" s="13">
        <f>IFERROR(VLOOKUP(A42,ผู้เช่า!$A:$N,7,0),0)</f>
        <v/>
      </c>
      <c r="N42" s="13">
        <f>IFERROR(VLOOKUP(A42,ผู้เช่า!$A:$N,8,0),0)</f>
        <v/>
      </c>
      <c r="O42" s="18" t="n">
        <v>0</v>
      </c>
      <c r="P42" s="19">
        <f>SUM(C42,D42,H42,L42,M42,N42,O42)</f>
        <v/>
      </c>
    </row>
    <row r="43">
      <c r="A43" s="11" t="n">
        <v>403</v>
      </c>
      <c r="B43" s="12">
        <f>IFERROR(VLOOKUP(A43,ผู้เช่า!$A:$N,2,0),"")</f>
        <v/>
      </c>
      <c r="C43" s="13">
        <f>IFERROR(VLOOKUP(A43,ผู้เช่า!$A:$N,5,0),0)</f>
        <v/>
      </c>
      <c r="D43" s="13">
        <f>IFERROR(VLOOKUP(A43,ผู้เช่า!$A:$N,6,0),0)</f>
        <v/>
      </c>
      <c r="E43" s="14" t="n">
        <v>1250</v>
      </c>
      <c r="F43" s="15" t="n">
        <v>1262</v>
      </c>
      <c r="G43" s="16">
        <f>IF(F43="","",F43-E43)</f>
        <v/>
      </c>
      <c r="H43" s="17">
        <f>IF(G43="","",G43*IFERROR(VLOOKUP(A43,ผู้เช่า!$A:$N,9,0),0))</f>
        <v/>
      </c>
      <c r="I43" s="14" t="n">
        <v>349</v>
      </c>
      <c r="J43" s="15" t="n">
        <v>356</v>
      </c>
      <c r="K43" s="16">
        <f>IF(J43="","",J43-I43)</f>
        <v/>
      </c>
      <c r="L43" s="17">
        <f>IF(K43="","",MAX(K43*IFERROR(VLOOKUP(A43,ผู้เช่า!$A:$N,10,0),0),IFERROR(VLOOKUP(A43,ผู้เช่า!$A:$N,14,0),0)))</f>
        <v/>
      </c>
      <c r="M43" s="13">
        <f>IFERROR(VLOOKUP(A43,ผู้เช่า!$A:$N,7,0),0)</f>
        <v/>
      </c>
      <c r="N43" s="13">
        <f>IFERROR(VLOOKUP(A43,ผู้เช่า!$A:$N,8,0),0)</f>
        <v/>
      </c>
      <c r="O43" s="18" t="n">
        <v>0</v>
      </c>
      <c r="P43" s="19">
        <f>SUM(C43,D43,H43,L43,M43,N43,O43)</f>
        <v/>
      </c>
    </row>
    <row r="44">
      <c r="A44" s="11" t="n">
        <v>404</v>
      </c>
      <c r="B44" s="12">
        <f>IFERROR(VLOOKUP(A44,ผู้เช่า!$A:$N,2,0),"")</f>
        <v/>
      </c>
      <c r="C44" s="13">
        <f>IFERROR(VLOOKUP(A44,ผู้เช่า!$A:$N,5,0),0)</f>
        <v/>
      </c>
      <c r="D44" s="13">
        <f>IFERROR(VLOOKUP(A44,ผู้เช่า!$A:$N,6,0),0)</f>
        <v/>
      </c>
      <c r="E44" s="14" t="n">
        <v>8938</v>
      </c>
      <c r="F44" s="15" t="n">
        <v>8944</v>
      </c>
      <c r="G44" s="16">
        <f>IF(F44="","",F44-E44)</f>
        <v/>
      </c>
      <c r="H44" s="17">
        <f>IF(G44="","",G44*IFERROR(VLOOKUP(A44,ผู้เช่า!$A:$N,9,0),0))</f>
        <v/>
      </c>
      <c r="I44" s="14" t="n">
        <v>315</v>
      </c>
      <c r="J44" s="15" t="n">
        <v>316</v>
      </c>
      <c r="K44" s="16">
        <f>IF(J44="","",J44-I44)</f>
        <v/>
      </c>
      <c r="L44" s="17">
        <f>IF(K44="","",MAX(K44*IFERROR(VLOOKUP(A44,ผู้เช่า!$A:$N,10,0),0),IFERROR(VLOOKUP(A44,ผู้เช่า!$A:$N,14,0),0)))</f>
        <v/>
      </c>
      <c r="M44" s="13">
        <f>IFERROR(VLOOKUP(A44,ผู้เช่า!$A:$N,7,0),0)</f>
        <v/>
      </c>
      <c r="N44" s="13">
        <f>IFERROR(VLOOKUP(A44,ผู้เช่า!$A:$N,8,0),0)</f>
        <v/>
      </c>
      <c r="O44" s="18" t="n">
        <v>0</v>
      </c>
      <c r="P44" s="19">
        <f>SUM(C44,D44,H44,L44,M44,N44,O44)</f>
        <v/>
      </c>
    </row>
    <row r="45">
      <c r="A45" s="11" t="n">
        <v>405</v>
      </c>
      <c r="B45" s="12">
        <f>IFERROR(VLOOKUP(A45,ผู้เช่า!$A:$N,2,0),"")</f>
        <v/>
      </c>
      <c r="C45" s="13">
        <f>IFERROR(VLOOKUP(A45,ผู้เช่า!$A:$N,5,0),0)</f>
        <v/>
      </c>
      <c r="D45" s="13">
        <f>IFERROR(VLOOKUP(A45,ผู้เช่า!$A:$N,6,0),0)</f>
        <v/>
      </c>
      <c r="E45" s="14" t="n">
        <v>12090</v>
      </c>
      <c r="F45" s="15" t="n">
        <v>12262</v>
      </c>
      <c r="G45" s="16">
        <f>IF(F45="","",F45-E45)</f>
        <v/>
      </c>
      <c r="H45" s="17">
        <f>IF(G45="","",G45*IFERROR(VLOOKUP(A45,ผู้เช่า!$A:$N,9,0),0))</f>
        <v/>
      </c>
      <c r="I45" s="14" t="n">
        <v>320</v>
      </c>
      <c r="J45" s="15" t="n">
        <v>325</v>
      </c>
      <c r="K45" s="16">
        <f>IF(J45="","",J45-I45)</f>
        <v/>
      </c>
      <c r="L45" s="17">
        <f>IF(K45="","",MAX(K45*IFERROR(VLOOKUP(A45,ผู้เช่า!$A:$N,10,0),0),IFERROR(VLOOKUP(A45,ผู้เช่า!$A:$N,14,0),0)))</f>
        <v/>
      </c>
      <c r="M45" s="13">
        <f>IFERROR(VLOOKUP(A45,ผู้เช่า!$A:$N,7,0),0)</f>
        <v/>
      </c>
      <c r="N45" s="13">
        <f>IFERROR(VLOOKUP(A45,ผู้เช่า!$A:$N,8,0),0)</f>
        <v/>
      </c>
      <c r="O45" s="18" t="n">
        <v>100</v>
      </c>
      <c r="P45" s="19">
        <f>SUM(C45,D45,H45,L45,M45,N45,O45)</f>
        <v/>
      </c>
    </row>
    <row r="46">
      <c r="A46" s="11" t="n">
        <v>406</v>
      </c>
      <c r="B46" s="12">
        <f>IFERROR(VLOOKUP(A46,ผู้เช่า!$A:$N,2,0),"")</f>
        <v/>
      </c>
      <c r="C46" s="13">
        <f>IFERROR(VLOOKUP(A46,ผู้เช่า!$A:$N,5,0),0)</f>
        <v/>
      </c>
      <c r="D46" s="13">
        <f>IFERROR(VLOOKUP(A46,ผู้เช่า!$A:$N,6,0),0)</f>
        <v/>
      </c>
      <c r="E46" s="14" t="n">
        <v>4992</v>
      </c>
      <c r="F46" s="15" t="n">
        <v>5157</v>
      </c>
      <c r="G46" s="16">
        <f>IF(F46="","",F46-E46)</f>
        <v/>
      </c>
      <c r="H46" s="17">
        <f>IF(G46="","",G46*IFERROR(VLOOKUP(A46,ผู้เช่า!$A:$N,9,0),0))</f>
        <v/>
      </c>
      <c r="I46" s="14" t="n">
        <v>467</v>
      </c>
      <c r="J46" s="15" t="n">
        <v>475</v>
      </c>
      <c r="K46" s="16">
        <f>IF(J46="","",J46-I46)</f>
        <v/>
      </c>
      <c r="L46" s="17">
        <f>IF(K46="","",MAX(K46*IFERROR(VLOOKUP(A46,ผู้เช่า!$A:$N,10,0),0),IFERROR(VLOOKUP(A46,ผู้เช่า!$A:$N,14,0),0)))</f>
        <v/>
      </c>
      <c r="M46" s="13">
        <f>IFERROR(VLOOKUP(A46,ผู้เช่า!$A:$N,7,0),0)</f>
        <v/>
      </c>
      <c r="N46" s="13">
        <f>IFERROR(VLOOKUP(A46,ผู้เช่า!$A:$N,8,0),0)</f>
        <v/>
      </c>
      <c r="O46" s="18" t="n">
        <v>300</v>
      </c>
      <c r="P46" s="19">
        <f>SUM(C46,D46,H46,L46,M46,N46,O46)</f>
        <v/>
      </c>
    </row>
    <row r="47">
      <c r="A47" s="11" t="n">
        <v>407</v>
      </c>
      <c r="B47" s="12">
        <f>IFERROR(VLOOKUP(A47,ผู้เช่า!$A:$N,2,0),"")</f>
        <v/>
      </c>
      <c r="C47" s="13">
        <f>IFERROR(VLOOKUP(A47,ผู้เช่า!$A:$N,5,0),0)</f>
        <v/>
      </c>
      <c r="D47" s="13">
        <f>IFERROR(VLOOKUP(A47,ผู้เช่า!$A:$N,6,0),0)</f>
        <v/>
      </c>
      <c r="E47" s="14" t="n">
        <v>2083</v>
      </c>
      <c r="F47" s="15" t="n">
        <v>2175</v>
      </c>
      <c r="G47" s="16">
        <f>IF(F47="","",F47-E47)</f>
        <v/>
      </c>
      <c r="H47" s="17">
        <f>IF(G47="","",G47*IFERROR(VLOOKUP(A47,ผู้เช่า!$A:$N,9,0),0))</f>
        <v/>
      </c>
      <c r="I47" s="14" t="n">
        <v>331</v>
      </c>
      <c r="J47" s="15" t="n">
        <v>336</v>
      </c>
      <c r="K47" s="16">
        <f>IF(J47="","",J47-I47)</f>
        <v/>
      </c>
      <c r="L47" s="17">
        <f>IF(K47="","",MAX(K47*IFERROR(VLOOKUP(A47,ผู้เช่า!$A:$N,10,0),0),IFERROR(VLOOKUP(A47,ผู้เช่า!$A:$N,14,0),0)))</f>
        <v/>
      </c>
      <c r="M47" s="13">
        <f>IFERROR(VLOOKUP(A47,ผู้เช่า!$A:$N,7,0),0)</f>
        <v/>
      </c>
      <c r="N47" s="13">
        <f>IFERROR(VLOOKUP(A47,ผู้เช่า!$A:$N,8,0),0)</f>
        <v/>
      </c>
      <c r="O47" s="18" t="n">
        <v>250</v>
      </c>
      <c r="P47" s="19">
        <f>SUM(C47,D47,H47,L47,M47,N47,O47)</f>
        <v/>
      </c>
    </row>
    <row r="48">
      <c r="A48" s="11" t="n">
        <v>408</v>
      </c>
      <c r="B48" s="12">
        <f>IFERROR(VLOOKUP(A48,ผู้เช่า!$A:$N,2,0),"")</f>
        <v/>
      </c>
      <c r="C48" s="13">
        <f>IFERROR(VLOOKUP(A48,ผู้เช่า!$A:$N,5,0),0)</f>
        <v/>
      </c>
      <c r="D48" s="13">
        <f>IFERROR(VLOOKUP(A48,ผู้เช่า!$A:$N,6,0),0)</f>
        <v/>
      </c>
      <c r="E48" s="14" t="n">
        <v>8762</v>
      </c>
      <c r="F48" s="15" t="n">
        <v>8820</v>
      </c>
      <c r="G48" s="16">
        <f>IF(F48="","",F48-E48)</f>
        <v/>
      </c>
      <c r="H48" s="17">
        <f>IF(G48="","",G48*IFERROR(VLOOKUP(A48,ผู้เช่า!$A:$N,9,0),0))</f>
        <v/>
      </c>
      <c r="I48" s="14" t="n">
        <v>314</v>
      </c>
      <c r="J48" s="15" t="n">
        <v>319</v>
      </c>
      <c r="K48" s="16">
        <f>IF(J48="","",J48-I48)</f>
        <v/>
      </c>
      <c r="L48" s="17">
        <f>IF(K48="","",MAX(K48*IFERROR(VLOOKUP(A48,ผู้เช่า!$A:$N,10,0),0),IFERROR(VLOOKUP(A48,ผู้เช่า!$A:$N,14,0),0)))</f>
        <v/>
      </c>
      <c r="M48" s="13">
        <f>IFERROR(VLOOKUP(A48,ผู้เช่า!$A:$N,7,0),0)</f>
        <v/>
      </c>
      <c r="N48" s="13">
        <f>IFERROR(VLOOKUP(A48,ผู้เช่า!$A:$N,8,0),0)</f>
        <v/>
      </c>
      <c r="O48" s="18" t="n">
        <v>250</v>
      </c>
      <c r="P48" s="19">
        <f>SUM(C48,D48,H48,L48,M48,N48,O48)</f>
        <v/>
      </c>
    </row>
    <row r="49">
      <c r="A49" s="11" t="n">
        <v>409</v>
      </c>
      <c r="B49" s="12">
        <f>IFERROR(VLOOKUP(A49,ผู้เช่า!$A:$N,2,0),"")</f>
        <v/>
      </c>
      <c r="C49" s="13">
        <f>IFERROR(VLOOKUP(A49,ผู้เช่า!$A:$N,5,0),0)</f>
        <v/>
      </c>
      <c r="D49" s="13">
        <f>IFERROR(VLOOKUP(A49,ผู้เช่า!$A:$N,6,0),0)</f>
        <v/>
      </c>
      <c r="E49" s="14" t="n">
        <v>1887</v>
      </c>
      <c r="F49" s="15" t="n">
        <v>2151</v>
      </c>
      <c r="G49" s="16">
        <f>IF(F49="","",F49-E49)</f>
        <v/>
      </c>
      <c r="H49" s="17">
        <f>IF(G49="","",G49*IFERROR(VLOOKUP(A49,ผู้เช่า!$A:$N,9,0),0))</f>
        <v/>
      </c>
      <c r="I49" s="14" t="n">
        <v>401</v>
      </c>
      <c r="J49" s="15" t="n">
        <v>407</v>
      </c>
      <c r="K49" s="16">
        <f>IF(J49="","",J49-I49)</f>
        <v/>
      </c>
      <c r="L49" s="17">
        <f>IF(K49="","",MAX(K49*IFERROR(VLOOKUP(A49,ผู้เช่า!$A:$N,10,0),0),IFERROR(VLOOKUP(A49,ผู้เช่า!$A:$N,14,0),0)))</f>
        <v/>
      </c>
      <c r="M49" s="13">
        <f>IFERROR(VLOOKUP(A49,ผู้เช่า!$A:$N,7,0),0)</f>
        <v/>
      </c>
      <c r="N49" s="13">
        <f>IFERROR(VLOOKUP(A49,ผู้เช่า!$A:$N,8,0),0)</f>
        <v/>
      </c>
      <c r="O49" s="18" t="n">
        <v>300</v>
      </c>
      <c r="P49" s="19">
        <f>SUM(C49,D49,H49,L49,M49,N49,O49)</f>
        <v/>
      </c>
    </row>
    <row r="50">
      <c r="A50" s="11" t="n">
        <v>410</v>
      </c>
      <c r="B50" s="12">
        <f>IFERROR(VLOOKUP(A50,ผู้เช่า!$A:$N,2,0),"")</f>
        <v/>
      </c>
      <c r="C50" s="13">
        <f>IFERROR(VLOOKUP(A50,ผู้เช่า!$A:$N,5,0),0)</f>
        <v/>
      </c>
      <c r="D50" s="13">
        <f>IFERROR(VLOOKUP(A50,ผู้เช่า!$A:$N,6,0),0)</f>
        <v/>
      </c>
      <c r="E50" s="14" t="n">
        <v>8781</v>
      </c>
      <c r="F50" s="15" t="n">
        <v>8948</v>
      </c>
      <c r="G50" s="16">
        <f>IF(F50="","",F50-E50)</f>
        <v/>
      </c>
      <c r="H50" s="17">
        <f>IF(G50="","",G50*IFERROR(VLOOKUP(A50,ผู้เช่า!$A:$N,9,0),0))</f>
        <v/>
      </c>
      <c r="I50" s="14" t="n">
        <v>502</v>
      </c>
      <c r="J50" s="15" t="n">
        <v>515</v>
      </c>
      <c r="K50" s="16">
        <f>IF(J50="","",J50-I50)</f>
        <v/>
      </c>
      <c r="L50" s="17">
        <f>IF(K50="","",MAX(K50*IFERROR(VLOOKUP(A50,ผู้เช่า!$A:$N,10,0),0),IFERROR(VLOOKUP(A50,ผู้เช่า!$A:$N,14,0),0)))</f>
        <v/>
      </c>
      <c r="M50" s="13">
        <f>IFERROR(VLOOKUP(A50,ผู้เช่า!$A:$N,7,0),0)</f>
        <v/>
      </c>
      <c r="N50" s="13">
        <f>IFERROR(VLOOKUP(A50,ผู้เช่า!$A:$N,8,0),0)</f>
        <v/>
      </c>
      <c r="O50" s="18" t="n">
        <v>0</v>
      </c>
      <c r="P50" s="19">
        <f>SUM(C50,D50,H50,L50,M50,N50,O50)</f>
        <v/>
      </c>
    </row>
    <row r="51">
      <c r="A51" s="11" t="n">
        <v>411</v>
      </c>
      <c r="B51" s="12">
        <f>IFERROR(VLOOKUP(A51,ผู้เช่า!$A:$N,2,0),"")</f>
        <v/>
      </c>
      <c r="C51" s="13">
        <f>IFERROR(VLOOKUP(A51,ผู้เช่า!$A:$N,5,0),0)</f>
        <v/>
      </c>
      <c r="D51" s="13">
        <f>IFERROR(VLOOKUP(A51,ผู้เช่า!$A:$N,6,0),0)</f>
        <v/>
      </c>
      <c r="E51" s="14" t="n">
        <v>2107</v>
      </c>
      <c r="F51" s="15" t="n">
        <v>2121</v>
      </c>
      <c r="G51" s="16">
        <f>IF(F51="","",F51-E51)</f>
        <v/>
      </c>
      <c r="H51" s="17">
        <f>IF(G51="","",G51*IFERROR(VLOOKUP(A51,ผู้เช่า!$A:$N,9,0),0))</f>
        <v/>
      </c>
      <c r="I51" s="14" t="n">
        <v>296</v>
      </c>
      <c r="J51" s="15" t="n">
        <v>308</v>
      </c>
      <c r="K51" s="16">
        <f>IF(J51="","",J51-I51)</f>
        <v/>
      </c>
      <c r="L51" s="17">
        <f>IF(K51="","",MAX(K51*IFERROR(VLOOKUP(A51,ผู้เช่า!$A:$N,10,0),0),IFERROR(VLOOKUP(A51,ผู้เช่า!$A:$N,14,0),0)))</f>
        <v/>
      </c>
      <c r="M51" s="13">
        <f>IFERROR(VLOOKUP(A51,ผู้เช่า!$A:$N,7,0),0)</f>
        <v/>
      </c>
      <c r="N51" s="13">
        <f>IFERROR(VLOOKUP(A51,ผู้เช่า!$A:$N,8,0),0)</f>
        <v/>
      </c>
      <c r="O51" s="18" t="n">
        <v>0</v>
      </c>
      <c r="P51" s="19">
        <f>SUM(C51,D51,H51,L51,M51,N51,O51)</f>
        <v/>
      </c>
    </row>
    <row r="52">
      <c r="A52" s="11" t="n">
        <v>412</v>
      </c>
      <c r="B52" s="12">
        <f>IFERROR(VLOOKUP(A52,ผู้เช่า!$A:$N,2,0),"")</f>
        <v/>
      </c>
      <c r="C52" s="13">
        <f>IFERROR(VLOOKUP(A52,ผู้เช่า!$A:$N,5,0),0)</f>
        <v/>
      </c>
      <c r="D52" s="13">
        <f>IFERROR(VLOOKUP(A52,ผู้เช่า!$A:$N,6,0),0)</f>
        <v/>
      </c>
      <c r="E52" s="14" t="n">
        <v>12532</v>
      </c>
      <c r="F52" s="15" t="n">
        <v>12601</v>
      </c>
      <c r="G52" s="16">
        <f>IF(F52="","",F52-E52)</f>
        <v/>
      </c>
      <c r="H52" s="17">
        <f>IF(G52="","",G52*IFERROR(VLOOKUP(A52,ผู้เช่า!$A:$N,9,0),0))</f>
        <v/>
      </c>
      <c r="I52" s="14" t="n">
        <v>392</v>
      </c>
      <c r="J52" s="15" t="n">
        <v>393</v>
      </c>
      <c r="K52" s="16">
        <f>IF(J52="","",J52-I52)</f>
        <v/>
      </c>
      <c r="L52" s="17">
        <f>IF(K52="","",MAX(K52*IFERROR(VLOOKUP(A52,ผู้เช่า!$A:$N,10,0),0),IFERROR(VLOOKUP(A52,ผู้เช่า!$A:$N,14,0),0)))</f>
        <v/>
      </c>
      <c r="M52" s="13">
        <f>IFERROR(VLOOKUP(A52,ผู้เช่า!$A:$N,7,0),0)</f>
        <v/>
      </c>
      <c r="N52" s="13">
        <f>IFERROR(VLOOKUP(A52,ผู้เช่า!$A:$N,8,0),0)</f>
        <v/>
      </c>
      <c r="O52" s="18" t="n">
        <v>0</v>
      </c>
      <c r="P52" s="19">
        <f>SUM(C52,D52,H52,L52,M52,N52,O52)</f>
        <v/>
      </c>
    </row>
    <row r="53">
      <c r="A53" s="11" t="n">
        <v>413</v>
      </c>
      <c r="B53" s="12">
        <f>IFERROR(VLOOKUP(A53,ผู้เช่า!$A:$N,2,0),"")</f>
        <v/>
      </c>
      <c r="C53" s="13">
        <f>IFERROR(VLOOKUP(A53,ผู้เช่า!$A:$N,5,0),0)</f>
        <v/>
      </c>
      <c r="D53" s="13">
        <f>IFERROR(VLOOKUP(A53,ผู้เช่า!$A:$N,6,0),0)</f>
        <v/>
      </c>
      <c r="E53" s="14" t="n">
        <v>8080</v>
      </c>
      <c r="F53" s="15" t="n">
        <v>8299</v>
      </c>
      <c r="G53" s="16">
        <f>IF(F53="","",F53-E53)</f>
        <v/>
      </c>
      <c r="H53" s="17">
        <f>IF(G53="","",G53*IFERROR(VLOOKUP(A53,ผู้เช่า!$A:$N,9,0),0))</f>
        <v/>
      </c>
      <c r="I53" s="14" t="n">
        <v>285</v>
      </c>
      <c r="J53" s="15" t="n">
        <v>293</v>
      </c>
      <c r="K53" s="16">
        <f>IF(J53="","",J53-I53)</f>
        <v/>
      </c>
      <c r="L53" s="17">
        <f>IF(K53="","",MAX(K53*IFERROR(VLOOKUP(A53,ผู้เช่า!$A:$N,10,0),0),IFERROR(VLOOKUP(A53,ผู้เช่า!$A:$N,14,0),0)))</f>
        <v/>
      </c>
      <c r="M53" s="13">
        <f>IFERROR(VLOOKUP(A53,ผู้เช่า!$A:$N,7,0),0)</f>
        <v/>
      </c>
      <c r="N53" s="13">
        <f>IFERROR(VLOOKUP(A53,ผู้เช่า!$A:$N,8,0),0)</f>
        <v/>
      </c>
      <c r="O53" s="18" t="n">
        <v>0</v>
      </c>
      <c r="P53" s="19">
        <f>SUM(C53,D53,H53,L53,M53,N53,O53)</f>
        <v/>
      </c>
    </row>
    <row r="54">
      <c r="A54" s="11" t="n">
        <v>414</v>
      </c>
      <c r="B54" s="12">
        <f>IFERROR(VLOOKUP(A54,ผู้เช่า!$A:$N,2,0),"")</f>
        <v/>
      </c>
      <c r="C54" s="13">
        <f>IFERROR(VLOOKUP(A54,ผู้เช่า!$A:$N,5,0),0)</f>
        <v/>
      </c>
      <c r="D54" s="13">
        <f>IFERROR(VLOOKUP(A54,ผู้เช่า!$A:$N,6,0),0)</f>
        <v/>
      </c>
      <c r="E54" s="14" t="n">
        <v>8975</v>
      </c>
      <c r="F54" s="15" t="n">
        <v>9148</v>
      </c>
      <c r="G54" s="16">
        <f>IF(F54="","",F54-E54)</f>
        <v/>
      </c>
      <c r="H54" s="17">
        <f>IF(G54="","",G54*IFERROR(VLOOKUP(A54,ผู้เช่า!$A:$N,9,0),0))</f>
        <v/>
      </c>
      <c r="I54" s="14" t="n">
        <v>282</v>
      </c>
      <c r="J54" s="15" t="n">
        <v>287</v>
      </c>
      <c r="K54" s="16">
        <f>IF(J54="","",J54-I54)</f>
        <v/>
      </c>
      <c r="L54" s="17">
        <f>IF(K54="","",MAX(K54*IFERROR(VLOOKUP(A54,ผู้เช่า!$A:$N,10,0),0),IFERROR(VLOOKUP(A54,ผู้เช่า!$A:$N,14,0),0)))</f>
        <v/>
      </c>
      <c r="M54" s="13">
        <f>IFERROR(VLOOKUP(A54,ผู้เช่า!$A:$N,7,0),0)</f>
        <v/>
      </c>
      <c r="N54" s="13">
        <f>IFERROR(VLOOKUP(A54,ผู้เช่า!$A:$N,8,0),0)</f>
        <v/>
      </c>
      <c r="O54" s="18" t="n">
        <v>0</v>
      </c>
      <c r="P54" s="19">
        <f>SUM(C54,D54,H54,L54,M54,N54,O54)</f>
        <v/>
      </c>
    </row>
    <row r="55">
      <c r="A55" s="11" t="n">
        <v>415</v>
      </c>
      <c r="B55" s="12">
        <f>IFERROR(VLOOKUP(A55,ผู้เช่า!$A:$N,2,0),"")</f>
        <v/>
      </c>
      <c r="C55" s="13">
        <f>IFERROR(VLOOKUP(A55,ผู้เช่า!$A:$N,5,0),0)</f>
        <v/>
      </c>
      <c r="D55" s="13">
        <f>IFERROR(VLOOKUP(A55,ผู้เช่า!$A:$N,6,0),0)</f>
        <v/>
      </c>
      <c r="E55" s="14" t="n">
        <v>9302</v>
      </c>
      <c r="F55" s="15" t="n">
        <v>9580</v>
      </c>
      <c r="G55" s="16">
        <f>IF(F55="","",F55-E55)</f>
        <v/>
      </c>
      <c r="H55" s="17">
        <f>IF(G55="","",G55*IFERROR(VLOOKUP(A55,ผู้เช่า!$A:$N,9,0),0))</f>
        <v/>
      </c>
      <c r="I55" s="14" t="n">
        <v>58</v>
      </c>
      <c r="J55" s="15" t="n">
        <v>59</v>
      </c>
      <c r="K55" s="16">
        <f>IF(J55="","",J55-I55)</f>
        <v/>
      </c>
      <c r="L55" s="17">
        <f>IF(K55="","",MAX(K55*IFERROR(VLOOKUP(A55,ผู้เช่า!$A:$N,10,0),0),IFERROR(VLOOKUP(A55,ผู้เช่า!$A:$N,14,0),0)))</f>
        <v/>
      </c>
      <c r="M55" s="13">
        <f>IFERROR(VLOOKUP(A55,ผู้เช่า!$A:$N,7,0),0)</f>
        <v/>
      </c>
      <c r="N55" s="13">
        <f>IFERROR(VLOOKUP(A55,ผู้เช่า!$A:$N,8,0),0)</f>
        <v/>
      </c>
      <c r="O55" s="18" t="n">
        <v>0</v>
      </c>
      <c r="P55" s="19">
        <f>SUM(C55,D55,H55,L55,M55,N55,O55)</f>
        <v/>
      </c>
    </row>
    <row r="56">
      <c r="A56" s="11" t="n">
        <v>416</v>
      </c>
      <c r="B56" s="12">
        <f>IFERROR(VLOOKUP(A56,ผู้เช่า!$A:$N,2,0),"")</f>
        <v/>
      </c>
      <c r="C56" s="13">
        <f>IFERROR(VLOOKUP(A56,ผู้เช่า!$A:$N,5,0),0)</f>
        <v/>
      </c>
      <c r="D56" s="13">
        <f>IFERROR(VLOOKUP(A56,ผู้เช่า!$A:$N,6,0),0)</f>
        <v/>
      </c>
      <c r="E56" s="14" t="n">
        <v>1153</v>
      </c>
      <c r="F56" s="15" t="n">
        <v>1202</v>
      </c>
      <c r="G56" s="16">
        <f>IF(F56="","",F56-E56)</f>
        <v/>
      </c>
      <c r="H56" s="17">
        <f>IF(G56="","",G56*IFERROR(VLOOKUP(A56,ผู้เช่า!$A:$N,9,0),0))</f>
        <v/>
      </c>
      <c r="I56" s="14" t="n">
        <v>428</v>
      </c>
      <c r="J56" s="15" t="n">
        <v>433</v>
      </c>
      <c r="K56" s="16">
        <f>IF(J56="","",J56-I56)</f>
        <v/>
      </c>
      <c r="L56" s="17">
        <f>IF(K56="","",MAX(K56*IFERROR(VLOOKUP(A56,ผู้เช่า!$A:$N,10,0),0),IFERROR(VLOOKUP(A56,ผู้เช่า!$A:$N,14,0),0)))</f>
        <v/>
      </c>
      <c r="M56" s="13">
        <f>IFERROR(VLOOKUP(A56,ผู้เช่า!$A:$N,7,0),0)</f>
        <v/>
      </c>
      <c r="N56" s="13">
        <f>IFERROR(VLOOKUP(A56,ผู้เช่า!$A:$N,8,0),0)</f>
        <v/>
      </c>
      <c r="O56" s="18" t="n">
        <v>0</v>
      </c>
      <c r="P56" s="19">
        <f>SUM(C56,D56,H56,L56,M56,N56,O56)</f>
        <v/>
      </c>
    </row>
    <row r="57">
      <c r="A57" s="11" t="n">
        <v>417</v>
      </c>
      <c r="B57" s="12">
        <f>IFERROR(VLOOKUP(A57,ผู้เช่า!$A:$N,2,0),"")</f>
        <v/>
      </c>
      <c r="C57" s="13">
        <f>IFERROR(VLOOKUP(A57,ผู้เช่า!$A:$N,5,0),0)</f>
        <v/>
      </c>
      <c r="D57" s="13">
        <f>IFERROR(VLOOKUP(A57,ผู้เช่า!$A:$N,6,0),0)</f>
        <v/>
      </c>
      <c r="E57" s="14" t="n">
        <v>6532</v>
      </c>
      <c r="F57" s="15" t="n">
        <v>6609</v>
      </c>
      <c r="G57" s="16">
        <f>IF(F57="","",F57-E57)</f>
        <v/>
      </c>
      <c r="H57" s="17">
        <f>IF(G57="","",G57*IFERROR(VLOOKUP(A57,ผู้เช่า!$A:$N,9,0),0))</f>
        <v/>
      </c>
      <c r="I57" s="14" t="n">
        <v>256</v>
      </c>
      <c r="J57" s="15" t="n">
        <v>259</v>
      </c>
      <c r="K57" s="16">
        <f>IF(J57="","",J57-I57)</f>
        <v/>
      </c>
      <c r="L57" s="17">
        <f>IF(K57="","",MAX(K57*IFERROR(VLOOKUP(A57,ผู้เช่า!$A:$N,10,0),0),IFERROR(VLOOKUP(A57,ผู้เช่า!$A:$N,14,0),0)))</f>
        <v/>
      </c>
      <c r="M57" s="13">
        <f>IFERROR(VLOOKUP(A57,ผู้เช่า!$A:$N,7,0),0)</f>
        <v/>
      </c>
      <c r="N57" s="13">
        <f>IFERROR(VLOOKUP(A57,ผู้เช่า!$A:$N,8,0),0)</f>
        <v/>
      </c>
      <c r="O57" s="18" t="n">
        <v>0</v>
      </c>
      <c r="P57" s="19">
        <f>SUM(C57,D57,H57,L57,M57,N57,O57)</f>
        <v/>
      </c>
    </row>
    <row r="58">
      <c r="A58" s="11" t="n">
        <v>418</v>
      </c>
      <c r="B58" s="12">
        <f>IFERROR(VLOOKUP(A58,ผู้เช่า!$A:$N,2,0),"")</f>
        <v/>
      </c>
      <c r="C58" s="13">
        <f>IFERROR(VLOOKUP(A58,ผู้เช่า!$A:$N,5,0),0)</f>
        <v/>
      </c>
      <c r="D58" s="13">
        <f>IFERROR(VLOOKUP(A58,ผู้เช่า!$A:$N,6,0),0)</f>
        <v/>
      </c>
      <c r="E58" s="14" t="n">
        <v>2578</v>
      </c>
      <c r="F58" s="15" t="n">
        <v>2743</v>
      </c>
      <c r="G58" s="16">
        <f>IF(F58="","",F58-E58)</f>
        <v/>
      </c>
      <c r="H58" s="17">
        <f>IF(G58="","",G58*IFERROR(VLOOKUP(A58,ผู้เช่า!$A:$N,9,0),0))</f>
        <v/>
      </c>
      <c r="I58" s="14" t="n">
        <v>373</v>
      </c>
      <c r="J58" s="15" t="n">
        <v>378</v>
      </c>
      <c r="K58" s="16">
        <f>IF(J58="","",J58-I58)</f>
        <v/>
      </c>
      <c r="L58" s="17">
        <f>IF(K58="","",MAX(K58*IFERROR(VLOOKUP(A58,ผู้เช่า!$A:$N,10,0),0),IFERROR(VLOOKUP(A58,ผู้เช่า!$A:$N,14,0),0)))</f>
        <v/>
      </c>
      <c r="M58" s="13">
        <f>IFERROR(VLOOKUP(A58,ผู้เช่า!$A:$N,7,0),0)</f>
        <v/>
      </c>
      <c r="N58" s="13">
        <f>IFERROR(VLOOKUP(A58,ผู้เช่า!$A:$N,8,0),0)</f>
        <v/>
      </c>
      <c r="O58" s="18" t="n">
        <v>0</v>
      </c>
      <c r="P58" s="19">
        <f>SUM(C58,D58,H58,L58,M58,N58,O58)</f>
        <v/>
      </c>
    </row>
    <row r="59">
      <c r="A59" s="11" t="n">
        <v>501</v>
      </c>
      <c r="B59" s="12">
        <f>IFERROR(VLOOKUP(A59,ผู้เช่า!$A:$N,2,0),"")</f>
        <v/>
      </c>
      <c r="C59" s="13">
        <f>IFERROR(VLOOKUP(A59,ผู้เช่า!$A:$N,5,0),0)</f>
        <v/>
      </c>
      <c r="D59" s="13">
        <f>IFERROR(VLOOKUP(A59,ผู้เช่า!$A:$N,6,0),0)</f>
        <v/>
      </c>
      <c r="E59" s="14" t="n">
        <v>4638</v>
      </c>
      <c r="F59" s="15" t="n">
        <v>4915</v>
      </c>
      <c r="G59" s="16">
        <f>IF(F59="","",F59-E59)</f>
        <v/>
      </c>
      <c r="H59" s="17">
        <f>IF(G59="","",G59*IFERROR(VLOOKUP(A59,ผู้เช่า!$A:$N,9,0),0))</f>
        <v/>
      </c>
      <c r="I59" s="14" t="n">
        <v>313</v>
      </c>
      <c r="J59" s="15" t="n">
        <v>314</v>
      </c>
      <c r="K59" s="16">
        <f>IF(J59="","",J59-I59)</f>
        <v/>
      </c>
      <c r="L59" s="17">
        <f>IF(K59="","",MAX(K59*IFERROR(VLOOKUP(A59,ผู้เช่า!$A:$N,10,0),0),IFERROR(VLOOKUP(A59,ผู้เช่า!$A:$N,14,0),0)))</f>
        <v/>
      </c>
      <c r="M59" s="13">
        <f>IFERROR(VLOOKUP(A59,ผู้เช่า!$A:$N,7,0),0)</f>
        <v/>
      </c>
      <c r="N59" s="13">
        <f>IFERROR(VLOOKUP(A59,ผู้เช่า!$A:$N,8,0),0)</f>
        <v/>
      </c>
      <c r="O59" s="18" t="n">
        <v>0</v>
      </c>
      <c r="P59" s="19">
        <f>SUM(C59,D59,H59,L59,M59,N59,O59)</f>
        <v/>
      </c>
    </row>
    <row r="60">
      <c r="A60" s="11" t="n">
        <v>502</v>
      </c>
      <c r="B60" s="12">
        <f>IFERROR(VLOOKUP(A60,ผู้เช่า!$A:$N,2,0),"")</f>
        <v/>
      </c>
      <c r="C60" s="13">
        <f>IFERROR(VLOOKUP(A60,ผู้เช่า!$A:$N,5,0),0)</f>
        <v/>
      </c>
      <c r="D60" s="13">
        <f>IFERROR(VLOOKUP(A60,ผู้เช่า!$A:$N,6,0),0)</f>
        <v/>
      </c>
      <c r="E60" s="14" t="n">
        <v>6399</v>
      </c>
      <c r="F60" s="15" t="n">
        <v>6617</v>
      </c>
      <c r="G60" s="16">
        <f>IF(F60="","",F60-E60)</f>
        <v/>
      </c>
      <c r="H60" s="17">
        <f>IF(G60="","",G60*IFERROR(VLOOKUP(A60,ผู้เช่า!$A:$N,9,0),0))</f>
        <v/>
      </c>
      <c r="I60" s="14" t="n">
        <v>485</v>
      </c>
      <c r="J60" s="15" t="n">
        <v>490</v>
      </c>
      <c r="K60" s="16">
        <f>IF(J60="","",J60-I60)</f>
        <v/>
      </c>
      <c r="L60" s="17">
        <f>IF(K60="","",MAX(K60*IFERROR(VLOOKUP(A60,ผู้เช่า!$A:$N,10,0),0),IFERROR(VLOOKUP(A60,ผู้เช่า!$A:$N,14,0),0)))</f>
        <v/>
      </c>
      <c r="M60" s="13">
        <f>IFERROR(VLOOKUP(A60,ผู้เช่า!$A:$N,7,0),0)</f>
        <v/>
      </c>
      <c r="N60" s="13">
        <f>IFERROR(VLOOKUP(A60,ผู้เช่า!$A:$N,8,0),0)</f>
        <v/>
      </c>
      <c r="O60" s="18" t="n">
        <v>0</v>
      </c>
      <c r="P60" s="19">
        <f>SUM(C60,D60,H60,L60,M60,N60,O60)</f>
        <v/>
      </c>
    </row>
    <row r="61">
      <c r="A61" s="11" t="n">
        <v>503</v>
      </c>
      <c r="B61" s="12">
        <f>IFERROR(VLOOKUP(A61,ผู้เช่า!$A:$N,2,0),"")</f>
        <v/>
      </c>
      <c r="C61" s="13">
        <f>IFERROR(VLOOKUP(A61,ผู้เช่า!$A:$N,5,0),0)</f>
        <v/>
      </c>
      <c r="D61" s="13">
        <f>IFERROR(VLOOKUP(A61,ผู้เช่า!$A:$N,6,0),0)</f>
        <v/>
      </c>
      <c r="E61" s="14" t="n">
        <v>8272</v>
      </c>
      <c r="F61" s="15" t="n">
        <v>8398</v>
      </c>
      <c r="G61" s="16">
        <f>IF(F61="","",F61-E61)</f>
        <v/>
      </c>
      <c r="H61" s="17">
        <f>IF(G61="","",G61*IFERROR(VLOOKUP(A61,ผู้เช่า!$A:$N,9,0),0))</f>
        <v/>
      </c>
      <c r="I61" s="14" t="n">
        <v>266</v>
      </c>
      <c r="J61" s="15" t="n">
        <v>271</v>
      </c>
      <c r="K61" s="16">
        <f>IF(J61="","",J61-I61)</f>
        <v/>
      </c>
      <c r="L61" s="17">
        <f>IF(K61="","",MAX(K61*IFERROR(VLOOKUP(A61,ผู้เช่า!$A:$N,10,0),0),IFERROR(VLOOKUP(A61,ผู้เช่า!$A:$N,14,0),0)))</f>
        <v/>
      </c>
      <c r="M61" s="13">
        <f>IFERROR(VLOOKUP(A61,ผู้เช่า!$A:$N,7,0),0)</f>
        <v/>
      </c>
      <c r="N61" s="13">
        <f>IFERROR(VLOOKUP(A61,ผู้เช่า!$A:$N,8,0),0)</f>
        <v/>
      </c>
      <c r="O61" s="18" t="n">
        <v>0</v>
      </c>
      <c r="P61" s="19">
        <f>SUM(C61,D61,H61,L61,M61,N61,O61)</f>
        <v/>
      </c>
    </row>
    <row r="62">
      <c r="A62" s="11" t="n">
        <v>504</v>
      </c>
      <c r="B62" s="12">
        <f>IFERROR(VLOOKUP(A62,ผู้เช่า!$A:$N,2,0),"")</f>
        <v/>
      </c>
      <c r="C62" s="13">
        <f>IFERROR(VLOOKUP(A62,ผู้เช่า!$A:$N,5,0),0)</f>
        <v/>
      </c>
      <c r="D62" s="13">
        <f>IFERROR(VLOOKUP(A62,ผู้เช่า!$A:$N,6,0),0)</f>
        <v/>
      </c>
      <c r="E62" s="14" t="n">
        <v>6594</v>
      </c>
      <c r="F62" s="15" t="n">
        <v>6808</v>
      </c>
      <c r="G62" s="16">
        <f>IF(F62="","",F62-E62)</f>
        <v/>
      </c>
      <c r="H62" s="17">
        <f>IF(G62="","",G62*IFERROR(VLOOKUP(A62,ผู้เช่า!$A:$N,9,0),0))</f>
        <v/>
      </c>
      <c r="I62" s="14" t="n">
        <v>276</v>
      </c>
      <c r="J62" s="15" t="n">
        <v>282</v>
      </c>
      <c r="K62" s="16">
        <f>IF(J62="","",J62-I62)</f>
        <v/>
      </c>
      <c r="L62" s="17">
        <f>IF(K62="","",MAX(K62*IFERROR(VLOOKUP(A62,ผู้เช่า!$A:$N,10,0),0),IFERROR(VLOOKUP(A62,ผู้เช่า!$A:$N,14,0),0)))</f>
        <v/>
      </c>
      <c r="M62" s="13">
        <f>IFERROR(VLOOKUP(A62,ผู้เช่า!$A:$N,7,0),0)</f>
        <v/>
      </c>
      <c r="N62" s="13">
        <f>IFERROR(VLOOKUP(A62,ผู้เช่า!$A:$N,8,0),0)</f>
        <v/>
      </c>
      <c r="O62" s="18" t="n">
        <v>0</v>
      </c>
      <c r="P62" s="19">
        <f>SUM(C62,D62,H62,L62,M62,N62,O62)</f>
        <v/>
      </c>
    </row>
    <row r="63">
      <c r="A63" s="11" t="n">
        <v>505</v>
      </c>
      <c r="B63" s="12">
        <f>IFERROR(VLOOKUP(A63,ผู้เช่า!$A:$N,2,0),"")</f>
        <v/>
      </c>
      <c r="C63" s="13">
        <f>IFERROR(VLOOKUP(A63,ผู้เช่า!$A:$N,5,0),0)</f>
        <v/>
      </c>
      <c r="D63" s="13">
        <f>IFERROR(VLOOKUP(A63,ผู้เช่า!$A:$N,6,0),0)</f>
        <v/>
      </c>
      <c r="E63" s="14" t="n">
        <v>3613</v>
      </c>
      <c r="F63" s="15" t="n">
        <v>3997</v>
      </c>
      <c r="G63" s="16">
        <f>IF(F63="","",F63-E63)</f>
        <v/>
      </c>
      <c r="H63" s="17">
        <f>IF(G63="","",G63*IFERROR(VLOOKUP(A63,ผู้เช่า!$A:$N,9,0),0))</f>
        <v/>
      </c>
      <c r="I63" s="14" t="n">
        <v>431</v>
      </c>
      <c r="J63" s="15" t="n">
        <v>435</v>
      </c>
      <c r="K63" s="16">
        <f>IF(J63="","",J63-I63)</f>
        <v/>
      </c>
      <c r="L63" s="17">
        <f>IF(K63="","",MAX(K63*IFERROR(VLOOKUP(A63,ผู้เช่า!$A:$N,10,0),0),IFERROR(VLOOKUP(A63,ผู้เช่า!$A:$N,14,0),0)))</f>
        <v/>
      </c>
      <c r="M63" s="13">
        <f>IFERROR(VLOOKUP(A63,ผู้เช่า!$A:$N,7,0),0)</f>
        <v/>
      </c>
      <c r="N63" s="13">
        <f>IFERROR(VLOOKUP(A63,ผู้เช่า!$A:$N,8,0),0)</f>
        <v/>
      </c>
      <c r="O63" s="18" t="n">
        <v>0</v>
      </c>
      <c r="P63" s="19">
        <f>SUM(C63,D63,H63,L63,M63,N63,O63)</f>
        <v/>
      </c>
    </row>
    <row r="64">
      <c r="A64" s="11" t="n">
        <v>506</v>
      </c>
      <c r="B64" s="12">
        <f>IFERROR(VLOOKUP(A64,ผู้เช่า!$A:$N,2,0),"")</f>
        <v/>
      </c>
      <c r="C64" s="13">
        <f>IFERROR(VLOOKUP(A64,ผู้เช่า!$A:$N,5,0),0)</f>
        <v/>
      </c>
      <c r="D64" s="13">
        <f>IFERROR(VLOOKUP(A64,ผู้เช่า!$A:$N,6,0),0)</f>
        <v/>
      </c>
      <c r="E64" s="14" t="n">
        <v>4876</v>
      </c>
      <c r="F64" s="15" t="n">
        <v>5091</v>
      </c>
      <c r="G64" s="16">
        <f>IF(F64="","",F64-E64)</f>
        <v/>
      </c>
      <c r="H64" s="17">
        <f>IF(G64="","",G64*IFERROR(VLOOKUP(A64,ผู้เช่า!$A:$N,9,0),0))</f>
        <v/>
      </c>
      <c r="I64" s="14" t="n">
        <v>225</v>
      </c>
      <c r="J64" s="15" t="n">
        <v>230</v>
      </c>
      <c r="K64" s="16">
        <f>IF(J64="","",J64-I64)</f>
        <v/>
      </c>
      <c r="L64" s="17">
        <f>IF(K64="","",MAX(K64*IFERROR(VLOOKUP(A64,ผู้เช่า!$A:$N,10,0),0),IFERROR(VLOOKUP(A64,ผู้เช่า!$A:$N,14,0),0)))</f>
        <v/>
      </c>
      <c r="M64" s="13">
        <f>IFERROR(VLOOKUP(A64,ผู้เช่า!$A:$N,7,0),0)</f>
        <v/>
      </c>
      <c r="N64" s="13">
        <f>IFERROR(VLOOKUP(A64,ผู้เช่า!$A:$N,8,0),0)</f>
        <v/>
      </c>
      <c r="O64" s="18" t="n">
        <v>100</v>
      </c>
      <c r="P64" s="19">
        <f>SUM(C64,D64,H64,L64,M64,N64,O64)</f>
        <v/>
      </c>
    </row>
    <row r="65">
      <c r="A65" s="11" t="n">
        <v>507</v>
      </c>
      <c r="B65" s="12">
        <f>IFERROR(VLOOKUP(A65,ผู้เช่า!$A:$N,2,0),"")</f>
        <v/>
      </c>
      <c r="C65" s="13">
        <f>IFERROR(VLOOKUP(A65,ผู้เช่า!$A:$N,5,0),0)</f>
        <v/>
      </c>
      <c r="D65" s="13">
        <f>IFERROR(VLOOKUP(A65,ผู้เช่า!$A:$N,6,0),0)</f>
        <v/>
      </c>
      <c r="E65" s="14" t="n">
        <v>6831</v>
      </c>
      <c r="F65" s="15" t="n">
        <v>7099</v>
      </c>
      <c r="G65" s="16">
        <f>IF(F65="","",F65-E65)</f>
        <v/>
      </c>
      <c r="H65" s="17">
        <f>IF(G65="","",G65*IFERROR(VLOOKUP(A65,ผู้เช่า!$A:$N,9,0),0))</f>
        <v/>
      </c>
      <c r="I65" s="14" t="n">
        <v>373</v>
      </c>
      <c r="J65" s="15" t="n">
        <v>378</v>
      </c>
      <c r="K65" s="16">
        <f>IF(J65="","",J65-I65)</f>
        <v/>
      </c>
      <c r="L65" s="17">
        <f>IF(K65="","",MAX(K65*IFERROR(VLOOKUP(A65,ผู้เช่า!$A:$N,10,0),0),IFERROR(VLOOKUP(A65,ผู้เช่า!$A:$N,14,0),0)))</f>
        <v/>
      </c>
      <c r="M65" s="13">
        <f>IFERROR(VLOOKUP(A65,ผู้เช่า!$A:$N,7,0),0)</f>
        <v/>
      </c>
      <c r="N65" s="13">
        <f>IFERROR(VLOOKUP(A65,ผู้เช่า!$A:$N,8,0),0)</f>
        <v/>
      </c>
      <c r="O65" s="18" t="n">
        <v>0</v>
      </c>
      <c r="P65" s="19">
        <f>SUM(C65,D65,H65,L65,M65,N65,O65)</f>
        <v/>
      </c>
    </row>
    <row r="66">
      <c r="A66" s="11" t="n">
        <v>508</v>
      </c>
      <c r="B66" s="12">
        <f>IFERROR(VLOOKUP(A66,ผู้เช่า!$A:$N,2,0),"")</f>
        <v/>
      </c>
      <c r="C66" s="13">
        <f>IFERROR(VLOOKUP(A66,ผู้เช่า!$A:$N,5,0),0)</f>
        <v/>
      </c>
      <c r="D66" s="13">
        <f>IFERROR(VLOOKUP(A66,ผู้เช่า!$A:$N,6,0),0)</f>
        <v/>
      </c>
      <c r="E66" s="14" t="n">
        <v>5886</v>
      </c>
      <c r="F66" s="15" t="n">
        <v>6070</v>
      </c>
      <c r="G66" s="16">
        <f>IF(F66="","",F66-E66)</f>
        <v/>
      </c>
      <c r="H66" s="17">
        <f>IF(G66="","",G66*IFERROR(VLOOKUP(A66,ผู้เช่า!$A:$N,9,0),0))</f>
        <v/>
      </c>
      <c r="I66" s="14" t="n">
        <v>297</v>
      </c>
      <c r="J66" s="15" t="n">
        <v>302</v>
      </c>
      <c r="K66" s="16">
        <f>IF(J66="","",J66-I66)</f>
        <v/>
      </c>
      <c r="L66" s="17">
        <f>IF(K66="","",MAX(K66*IFERROR(VLOOKUP(A66,ผู้เช่า!$A:$N,10,0),0),IFERROR(VLOOKUP(A66,ผู้เช่า!$A:$N,14,0),0)))</f>
        <v/>
      </c>
      <c r="M66" s="13">
        <f>IFERROR(VLOOKUP(A66,ผู้เช่า!$A:$N,7,0),0)</f>
        <v/>
      </c>
      <c r="N66" s="13">
        <f>IFERROR(VLOOKUP(A66,ผู้เช่า!$A:$N,8,0),0)</f>
        <v/>
      </c>
      <c r="O66" s="18" t="n">
        <v>0</v>
      </c>
      <c r="P66" s="19">
        <f>SUM(C66,D66,H66,L66,M66,N66,O66)</f>
        <v/>
      </c>
    </row>
    <row r="67">
      <c r="A67" s="11" t="n">
        <v>509</v>
      </c>
      <c r="B67" s="12">
        <f>IFERROR(VLOOKUP(A67,ผู้เช่า!$A:$N,2,0),"")</f>
        <v/>
      </c>
      <c r="C67" s="13">
        <f>IFERROR(VLOOKUP(A67,ผู้เช่า!$A:$N,5,0),0)</f>
        <v/>
      </c>
      <c r="D67" s="13">
        <f>IFERROR(VLOOKUP(A67,ผู้เช่า!$A:$N,6,0),0)</f>
        <v/>
      </c>
      <c r="E67" s="14" t="n">
        <v>4530</v>
      </c>
      <c r="F67" s="15" t="n">
        <v>4853</v>
      </c>
      <c r="G67" s="16">
        <f>IF(F67="","",F67-E67)</f>
        <v/>
      </c>
      <c r="H67" s="17">
        <f>IF(G67="","",G67*IFERROR(VLOOKUP(A67,ผู้เช่า!$A:$N,9,0),0))</f>
        <v/>
      </c>
      <c r="I67" s="14" t="n">
        <v>251</v>
      </c>
      <c r="J67" s="15" t="n">
        <v>256</v>
      </c>
      <c r="K67" s="16">
        <f>IF(J67="","",J67-I67)</f>
        <v/>
      </c>
      <c r="L67" s="17">
        <f>IF(K67="","",MAX(K67*IFERROR(VLOOKUP(A67,ผู้เช่า!$A:$N,10,0),0),IFERROR(VLOOKUP(A67,ผู้เช่า!$A:$N,14,0),0)))</f>
        <v/>
      </c>
      <c r="M67" s="13">
        <f>IFERROR(VLOOKUP(A67,ผู้เช่า!$A:$N,7,0),0)</f>
        <v/>
      </c>
      <c r="N67" s="13">
        <f>IFERROR(VLOOKUP(A67,ผู้เช่า!$A:$N,8,0),0)</f>
        <v/>
      </c>
      <c r="O67" s="18" t="n">
        <v>0</v>
      </c>
      <c r="P67" s="19">
        <f>SUM(C67,D67,H67,L67,M67,N67,O67)</f>
        <v/>
      </c>
    </row>
    <row r="68">
      <c r="A68" s="11" t="n">
        <v>510</v>
      </c>
      <c r="B68" s="12">
        <f>IFERROR(VLOOKUP(A68,ผู้เช่า!$A:$N,2,0),"")</f>
        <v/>
      </c>
      <c r="C68" s="13">
        <f>IFERROR(VLOOKUP(A68,ผู้เช่า!$A:$N,5,0),0)</f>
        <v/>
      </c>
      <c r="D68" s="13">
        <f>IFERROR(VLOOKUP(A68,ผู้เช่า!$A:$N,6,0),0)</f>
        <v/>
      </c>
      <c r="E68" s="14" t="n">
        <v>7641</v>
      </c>
      <c r="F68" s="15" t="n">
        <v>7799</v>
      </c>
      <c r="G68" s="16">
        <f>IF(F68="","",F68-E68)</f>
        <v/>
      </c>
      <c r="H68" s="17">
        <f>IF(G68="","",G68*IFERROR(VLOOKUP(A68,ผู้เช่า!$A:$N,9,0),0))</f>
        <v/>
      </c>
      <c r="I68" s="14" t="n">
        <v>304</v>
      </c>
      <c r="J68" s="15" t="n">
        <v>309</v>
      </c>
      <c r="K68" s="16">
        <f>IF(J68="","",J68-I68)</f>
        <v/>
      </c>
      <c r="L68" s="17">
        <f>IF(K68="","",MAX(K68*IFERROR(VLOOKUP(A68,ผู้เช่า!$A:$N,10,0),0),IFERROR(VLOOKUP(A68,ผู้เช่า!$A:$N,14,0),0)))</f>
        <v/>
      </c>
      <c r="M68" s="13">
        <f>IFERROR(VLOOKUP(A68,ผู้เช่า!$A:$N,7,0),0)</f>
        <v/>
      </c>
      <c r="N68" s="13">
        <f>IFERROR(VLOOKUP(A68,ผู้เช่า!$A:$N,8,0),0)</f>
        <v/>
      </c>
      <c r="O68" s="18" t="n">
        <v>0</v>
      </c>
      <c r="P68" s="19">
        <f>SUM(C68,D68,H68,L68,M68,N68,O68)</f>
        <v/>
      </c>
    </row>
    <row r="69">
      <c r="A69" s="11" t="n">
        <v>511</v>
      </c>
      <c r="B69" s="12">
        <f>IFERROR(VLOOKUP(A69,ผู้เช่า!$A:$N,2,0),"")</f>
        <v/>
      </c>
      <c r="C69" s="13">
        <f>IFERROR(VLOOKUP(A69,ผู้เช่า!$A:$N,5,0),0)</f>
        <v/>
      </c>
      <c r="D69" s="13">
        <f>IFERROR(VLOOKUP(A69,ผู้เช่า!$A:$N,6,0),0)</f>
        <v/>
      </c>
      <c r="E69" s="14" t="n">
        <v>6864</v>
      </c>
      <c r="F69" s="15" t="n">
        <v>6982</v>
      </c>
      <c r="G69" s="16">
        <f>IF(F69="","",F69-E69)</f>
        <v/>
      </c>
      <c r="H69" s="17">
        <f>IF(G69="","",G69*IFERROR(VLOOKUP(A69,ผู้เช่า!$A:$N,9,0),0))</f>
        <v/>
      </c>
      <c r="I69" s="14" t="n"/>
      <c r="J69" s="15" t="n"/>
      <c r="K69" s="16">
        <f>IF(J69="","",J69-I69)</f>
        <v/>
      </c>
      <c r="L69" s="17">
        <f>IF(K69="","",MAX(K69*IFERROR(VLOOKUP(A69,ผู้เช่า!$A:$N,10,0),0),IFERROR(VLOOKUP(A69,ผู้เช่า!$A:$N,14,0),0)))</f>
        <v/>
      </c>
      <c r="M69" s="13">
        <f>IFERROR(VLOOKUP(A69,ผู้เช่า!$A:$N,7,0),0)</f>
        <v/>
      </c>
      <c r="N69" s="13">
        <f>IFERROR(VLOOKUP(A69,ผู้เช่า!$A:$N,8,0),0)</f>
        <v/>
      </c>
      <c r="O69" s="18" t="n">
        <v>0</v>
      </c>
      <c r="P69" s="19">
        <f>SUM(C69,D69,H69,L69,M69,N69,O69)</f>
        <v/>
      </c>
    </row>
    <row r="70">
      <c r="A70" s="11" t="n">
        <v>512</v>
      </c>
      <c r="B70" s="12">
        <f>IFERROR(VLOOKUP(A70,ผู้เช่า!$A:$N,2,0),"")</f>
        <v/>
      </c>
      <c r="C70" s="13">
        <f>IFERROR(VLOOKUP(A70,ผู้เช่า!$A:$N,5,0),0)</f>
        <v/>
      </c>
      <c r="D70" s="13">
        <f>IFERROR(VLOOKUP(A70,ผู้เช่า!$A:$N,6,0),0)</f>
        <v/>
      </c>
      <c r="E70" s="14" t="n">
        <v>5869</v>
      </c>
      <c r="F70" s="15" t="n">
        <v>5946</v>
      </c>
      <c r="G70" s="16">
        <f>IF(F70="","",F70-E70)</f>
        <v/>
      </c>
      <c r="H70" s="17">
        <f>IF(G70="","",G70*IFERROR(VLOOKUP(A70,ผู้เช่า!$A:$N,9,0),0))</f>
        <v/>
      </c>
      <c r="I70" s="14" t="n">
        <v>557</v>
      </c>
      <c r="J70" s="15" t="n">
        <v>563</v>
      </c>
      <c r="K70" s="16">
        <f>IF(J70="","",J70-I70)</f>
        <v/>
      </c>
      <c r="L70" s="17">
        <f>IF(K70="","",MAX(K70*IFERROR(VLOOKUP(A70,ผู้เช่า!$A:$N,10,0),0),IFERROR(VLOOKUP(A70,ผู้เช่า!$A:$N,14,0),0)))</f>
        <v/>
      </c>
      <c r="M70" s="13">
        <f>IFERROR(VLOOKUP(A70,ผู้เช่า!$A:$N,7,0),0)</f>
        <v/>
      </c>
      <c r="N70" s="13">
        <f>IFERROR(VLOOKUP(A70,ผู้เช่า!$A:$N,8,0),0)</f>
        <v/>
      </c>
      <c r="O70" s="18" t="n">
        <v>0</v>
      </c>
      <c r="P70" s="19">
        <f>SUM(C70,D70,H70,L70,M70,N70,O70)</f>
        <v/>
      </c>
    </row>
    <row r="71">
      <c r="A71" s="11" t="n">
        <v>513</v>
      </c>
      <c r="B71" s="12">
        <f>IFERROR(VLOOKUP(A71,ผู้เช่า!$A:$N,2,0),"")</f>
        <v/>
      </c>
      <c r="C71" s="13">
        <f>IFERROR(VLOOKUP(A71,ผู้เช่า!$A:$N,5,0),0)</f>
        <v/>
      </c>
      <c r="D71" s="13">
        <f>IFERROR(VLOOKUP(A71,ผู้เช่า!$A:$N,6,0),0)</f>
        <v/>
      </c>
      <c r="E71" s="14" t="n">
        <v>4403</v>
      </c>
      <c r="F71" s="15" t="n">
        <v>4552</v>
      </c>
      <c r="G71" s="16">
        <f>IF(F71="","",F71-E71)</f>
        <v/>
      </c>
      <c r="H71" s="17">
        <f>IF(G71="","",G71*IFERROR(VLOOKUP(A71,ผู้เช่า!$A:$N,9,0),0))</f>
        <v/>
      </c>
      <c r="I71" s="14" t="n">
        <v>292</v>
      </c>
      <c r="J71" s="15" t="n">
        <v>299</v>
      </c>
      <c r="K71" s="16">
        <f>IF(J71="","",J71-I71)</f>
        <v/>
      </c>
      <c r="L71" s="17">
        <f>IF(K71="","",MAX(K71*IFERROR(VLOOKUP(A71,ผู้เช่า!$A:$N,10,0),0),IFERROR(VLOOKUP(A71,ผู้เช่า!$A:$N,14,0),0)))</f>
        <v/>
      </c>
      <c r="M71" s="13">
        <f>IFERROR(VLOOKUP(A71,ผู้เช่า!$A:$N,7,0),0)</f>
        <v/>
      </c>
      <c r="N71" s="13">
        <f>IFERROR(VLOOKUP(A71,ผู้เช่า!$A:$N,8,0),0)</f>
        <v/>
      </c>
      <c r="O71" s="18" t="n">
        <v>0</v>
      </c>
      <c r="P71" s="19">
        <f>SUM(C71,D71,H71,L71,M71,N71,O71)</f>
        <v/>
      </c>
    </row>
    <row r="72">
      <c r="A72" s="11" t="n">
        <v>514</v>
      </c>
      <c r="B72" s="12">
        <f>IFERROR(VLOOKUP(A72,ผู้เช่า!$A:$N,2,0),"")</f>
        <v/>
      </c>
      <c r="C72" s="13">
        <f>IFERROR(VLOOKUP(A72,ผู้เช่า!$A:$N,5,0),0)</f>
        <v/>
      </c>
      <c r="D72" s="13">
        <f>IFERROR(VLOOKUP(A72,ผู้เช่า!$A:$N,6,0),0)</f>
        <v/>
      </c>
      <c r="E72" s="14" t="n">
        <v>3229</v>
      </c>
      <c r="F72" s="15" t="n"/>
      <c r="G72" s="16">
        <f>IF(F72="","",F72-E72)</f>
        <v/>
      </c>
      <c r="H72" s="17">
        <f>IF(G72="","",G72*IFERROR(VLOOKUP(A72,ผู้เช่า!$A:$N,9,0),0))</f>
        <v/>
      </c>
      <c r="I72" s="14" t="n">
        <v>306</v>
      </c>
      <c r="J72" s="15" t="n"/>
      <c r="K72" s="16">
        <f>IF(J72="","",J72-I72)</f>
        <v/>
      </c>
      <c r="L72" s="17">
        <f>IF(K72="","",MAX(K72*IFERROR(VLOOKUP(A72,ผู้เช่า!$A:$N,10,0),0),IFERROR(VLOOKUP(A72,ผู้เช่า!$A:$N,14,0),0)))</f>
        <v/>
      </c>
      <c r="M72" s="13">
        <f>IFERROR(VLOOKUP(A72,ผู้เช่า!$A:$N,7,0),0)</f>
        <v/>
      </c>
      <c r="N72" s="13">
        <f>IFERROR(VLOOKUP(A72,ผู้เช่า!$A:$N,8,0),0)</f>
        <v/>
      </c>
      <c r="O72" s="18" t="n">
        <v>0</v>
      </c>
      <c r="P72" s="19">
        <f>SUM(C72,D72,H72,L72,M72,N72,O72)</f>
        <v/>
      </c>
    </row>
    <row r="73">
      <c r="A73" s="11" t="n">
        <v>515</v>
      </c>
      <c r="B73" s="12">
        <f>IFERROR(VLOOKUP(A73,ผู้เช่า!$A:$N,2,0),"")</f>
        <v/>
      </c>
      <c r="C73" s="13">
        <f>IFERROR(VLOOKUP(A73,ผู้เช่า!$A:$N,5,0),0)</f>
        <v/>
      </c>
      <c r="D73" s="13">
        <f>IFERROR(VLOOKUP(A73,ผู้เช่า!$A:$N,6,0),0)</f>
        <v/>
      </c>
      <c r="E73" s="14" t="n">
        <v>7487</v>
      </c>
      <c r="F73" s="15" t="n">
        <v>7902</v>
      </c>
      <c r="G73" s="16">
        <f>IF(F73="","",F73-E73)</f>
        <v/>
      </c>
      <c r="H73" s="17">
        <f>IF(G73="","",G73*IFERROR(VLOOKUP(A73,ผู้เช่า!$A:$N,9,0),0))</f>
        <v/>
      </c>
      <c r="I73" s="14" t="n">
        <v>397</v>
      </c>
      <c r="J73" s="15" t="n">
        <v>403</v>
      </c>
      <c r="K73" s="16">
        <f>IF(J73="","",J73-I73)</f>
        <v/>
      </c>
      <c r="L73" s="17">
        <f>IF(K73="","",MAX(K73*IFERROR(VLOOKUP(A73,ผู้เช่า!$A:$N,10,0),0),IFERROR(VLOOKUP(A73,ผู้เช่า!$A:$N,14,0),0)))</f>
        <v/>
      </c>
      <c r="M73" s="13">
        <f>IFERROR(VLOOKUP(A73,ผู้เช่า!$A:$N,7,0),0)</f>
        <v/>
      </c>
      <c r="N73" s="13">
        <f>IFERROR(VLOOKUP(A73,ผู้เช่า!$A:$N,8,0),0)</f>
        <v/>
      </c>
      <c r="O73" s="18" t="n">
        <v>250</v>
      </c>
      <c r="P73" s="19">
        <f>SUM(C73,D73,H73,L73,M73,N73,O73)</f>
        <v/>
      </c>
    </row>
    <row r="74">
      <c r="A74" s="11" t="n">
        <v>516</v>
      </c>
      <c r="B74" s="12">
        <f>IFERROR(VLOOKUP(A74,ผู้เช่า!$A:$N,2,0),"")</f>
        <v/>
      </c>
      <c r="C74" s="13">
        <f>IFERROR(VLOOKUP(A74,ผู้เช่า!$A:$N,5,0),0)</f>
        <v/>
      </c>
      <c r="D74" s="13">
        <f>IFERROR(VLOOKUP(A74,ผู้เช่า!$A:$N,6,0),0)</f>
        <v/>
      </c>
      <c r="E74" s="14" t="n">
        <v>5317</v>
      </c>
      <c r="F74" s="15" t="n">
        <v>5837</v>
      </c>
      <c r="G74" s="16">
        <f>IF(F74="","",F74-E74)</f>
        <v/>
      </c>
      <c r="H74" s="17">
        <f>IF(G74="","",G74*IFERROR(VLOOKUP(A74,ผู้เช่า!$A:$N,9,0),0))</f>
        <v/>
      </c>
      <c r="I74" s="14" t="n">
        <v>415</v>
      </c>
      <c r="J74" s="15" t="n">
        <v>420</v>
      </c>
      <c r="K74" s="16">
        <f>IF(J74="","",J74-I74)</f>
        <v/>
      </c>
      <c r="L74" s="17">
        <f>IF(K74="","",MAX(K74*IFERROR(VLOOKUP(A74,ผู้เช่า!$A:$N,10,0),0),IFERROR(VLOOKUP(A74,ผู้เช่า!$A:$N,14,0),0)))</f>
        <v/>
      </c>
      <c r="M74" s="13">
        <f>IFERROR(VLOOKUP(A74,ผู้เช่า!$A:$N,7,0),0)</f>
        <v/>
      </c>
      <c r="N74" s="13">
        <f>IFERROR(VLOOKUP(A74,ผู้เช่า!$A:$N,8,0),0)</f>
        <v/>
      </c>
      <c r="O74" s="18" t="n">
        <v>150</v>
      </c>
      <c r="P74" s="19">
        <f>SUM(C74,D74,H74,L74,M74,N74,O74)</f>
        <v/>
      </c>
    </row>
    <row r="75">
      <c r="A75" s="11" t="n">
        <v>517</v>
      </c>
      <c r="B75" s="12">
        <f>IFERROR(VLOOKUP(A75,ผู้เช่า!$A:$N,2,0),"")</f>
        <v/>
      </c>
      <c r="C75" s="13">
        <f>IFERROR(VLOOKUP(A75,ผู้เช่า!$A:$N,5,0),0)</f>
        <v/>
      </c>
      <c r="D75" s="13">
        <f>IFERROR(VLOOKUP(A75,ผู้เช่า!$A:$N,6,0),0)</f>
        <v/>
      </c>
      <c r="E75" s="14" t="n">
        <v>8365</v>
      </c>
      <c r="F75" s="15" t="n">
        <v>8497</v>
      </c>
      <c r="G75" s="16">
        <f>IF(F75="","",F75-E75)</f>
        <v/>
      </c>
      <c r="H75" s="17">
        <f>IF(G75="","",G75*IFERROR(VLOOKUP(A75,ผู้เช่า!$A:$N,9,0),0))</f>
        <v/>
      </c>
      <c r="I75" s="14" t="n">
        <v>255</v>
      </c>
      <c r="J75" s="15" t="n">
        <v>260</v>
      </c>
      <c r="K75" s="16">
        <f>IF(J75="","",J75-I75)</f>
        <v/>
      </c>
      <c r="L75" s="17">
        <f>IF(K75="","",MAX(K75*IFERROR(VLOOKUP(A75,ผู้เช่า!$A:$N,10,0),0),IFERROR(VLOOKUP(A75,ผู้เช่า!$A:$N,14,0),0)))</f>
        <v/>
      </c>
      <c r="M75" s="13">
        <f>IFERROR(VLOOKUP(A75,ผู้เช่า!$A:$N,7,0),0)</f>
        <v/>
      </c>
      <c r="N75" s="13">
        <f>IFERROR(VLOOKUP(A75,ผู้เช่า!$A:$N,8,0),0)</f>
        <v/>
      </c>
      <c r="O75" s="18" t="n">
        <v>0</v>
      </c>
      <c r="P75" s="19">
        <f>SUM(C75,D75,H75,L75,M75,N75,O75)</f>
        <v/>
      </c>
    </row>
    <row r="76">
      <c r="A76" s="11" t="n">
        <v>518</v>
      </c>
      <c r="B76" s="12">
        <f>IFERROR(VLOOKUP(A76,ผู้เช่า!$A:$N,2,0),"")</f>
        <v/>
      </c>
      <c r="C76" s="13">
        <f>IFERROR(VLOOKUP(A76,ผู้เช่า!$A:$N,5,0),0)</f>
        <v/>
      </c>
      <c r="D76" s="13">
        <f>IFERROR(VLOOKUP(A76,ผู้เช่า!$A:$N,6,0),0)</f>
        <v/>
      </c>
      <c r="E76" s="14" t="n">
        <v>5853</v>
      </c>
      <c r="F76" s="15" t="n">
        <v>6047</v>
      </c>
      <c r="G76" s="16">
        <f>IF(F76="","",F76-E76)</f>
        <v/>
      </c>
      <c r="H76" s="17">
        <f>IF(G76="","",G76*IFERROR(VLOOKUP(A76,ผู้เช่า!$A:$N,9,0),0))</f>
        <v/>
      </c>
      <c r="I76" s="14" t="n">
        <v>247</v>
      </c>
      <c r="J76" s="15" t="n">
        <v>252</v>
      </c>
      <c r="K76" s="16">
        <f>IF(J76="","",J76-I76)</f>
        <v/>
      </c>
      <c r="L76" s="17">
        <f>IF(K76="","",MAX(K76*IFERROR(VLOOKUP(A76,ผู้เช่า!$A:$N,10,0),0),IFERROR(VLOOKUP(A76,ผู้เช่า!$A:$N,14,0),0)))</f>
        <v/>
      </c>
      <c r="M76" s="13">
        <f>IFERROR(VLOOKUP(A76,ผู้เช่า!$A:$N,7,0),0)</f>
        <v/>
      </c>
      <c r="N76" s="13">
        <f>IFERROR(VLOOKUP(A76,ผู้เช่า!$A:$N,8,0),0)</f>
        <v/>
      </c>
      <c r="O76" s="18" t="n">
        <v>0</v>
      </c>
      <c r="P76" s="19">
        <f>SUM(C76,D76,H76,L76,M76,N76,O76)</f>
        <v/>
      </c>
    </row>
    <row r="77">
      <c r="A77" s="11" t="n">
        <v>601</v>
      </c>
      <c r="B77" s="12">
        <f>IFERROR(VLOOKUP(A77,ผู้เช่า!$A:$N,2,0),"")</f>
        <v/>
      </c>
      <c r="C77" s="13">
        <f>IFERROR(VLOOKUP(A77,ผู้เช่า!$A:$N,5,0),0)</f>
        <v/>
      </c>
      <c r="D77" s="13">
        <f>IFERROR(VLOOKUP(A77,ผู้เช่า!$A:$N,6,0),0)</f>
        <v/>
      </c>
      <c r="E77" s="14" t="n"/>
      <c r="F77" s="15" t="n"/>
      <c r="G77" s="16">
        <f>IF(F77="","",F77-E77)</f>
        <v/>
      </c>
      <c r="H77" s="17">
        <f>IF(G77="","",G77*IFERROR(VLOOKUP(A77,ผู้เช่า!$A:$N,9,0),0))</f>
        <v/>
      </c>
      <c r="I77" s="14" t="n"/>
      <c r="J77" s="15" t="n"/>
      <c r="K77" s="16">
        <f>IF(J77="","",J77-I77)</f>
        <v/>
      </c>
      <c r="L77" s="17">
        <f>IF(K77="","",MAX(K77*IFERROR(VLOOKUP(A77,ผู้เช่า!$A:$N,10,0),0),IFERROR(VLOOKUP(A77,ผู้เช่า!$A:$N,14,0),0)))</f>
        <v/>
      </c>
      <c r="M77" s="13">
        <f>IFERROR(VLOOKUP(A77,ผู้เช่า!$A:$N,7,0),0)</f>
        <v/>
      </c>
      <c r="N77" s="13">
        <f>IFERROR(VLOOKUP(A77,ผู้เช่า!$A:$N,8,0),0)</f>
        <v/>
      </c>
      <c r="O77" s="18" t="n">
        <v>0</v>
      </c>
      <c r="P77" s="19">
        <f>SUM(C77,D77,H77,L77,M77,N77,O77)</f>
        <v/>
      </c>
    </row>
    <row r="78">
      <c r="A78" s="11" t="n">
        <v>602</v>
      </c>
      <c r="B78" s="12">
        <f>IFERROR(VLOOKUP(A78,ผู้เช่า!$A:$N,2,0),"")</f>
        <v/>
      </c>
      <c r="C78" s="13">
        <f>IFERROR(VLOOKUP(A78,ผู้เช่า!$A:$N,5,0),0)</f>
        <v/>
      </c>
      <c r="D78" s="13">
        <f>IFERROR(VLOOKUP(A78,ผู้เช่า!$A:$N,6,0),0)</f>
        <v/>
      </c>
      <c r="E78" s="14" t="n">
        <v>4077</v>
      </c>
      <c r="F78" s="15" t="n">
        <v>4409</v>
      </c>
      <c r="G78" s="16">
        <f>IF(F78="","",F78-E78)</f>
        <v/>
      </c>
      <c r="H78" s="17">
        <f>IF(G78="","",G78*IFERROR(VLOOKUP(A78,ผู้เช่า!$A:$N,9,0),0))</f>
        <v/>
      </c>
      <c r="I78" s="14" t="n">
        <v>464</v>
      </c>
      <c r="J78" s="15" t="n">
        <v>472</v>
      </c>
      <c r="K78" s="16">
        <f>IF(J78="","",J78-I78)</f>
        <v/>
      </c>
      <c r="L78" s="17">
        <f>IF(K78="","",MAX(K78*IFERROR(VLOOKUP(A78,ผู้เช่า!$A:$N,10,0),0),IFERROR(VLOOKUP(A78,ผู้เช่า!$A:$N,14,0),0)))</f>
        <v/>
      </c>
      <c r="M78" s="13">
        <f>IFERROR(VLOOKUP(A78,ผู้เช่า!$A:$N,7,0),0)</f>
        <v/>
      </c>
      <c r="N78" s="13">
        <f>IFERROR(VLOOKUP(A78,ผู้เช่า!$A:$N,8,0),0)</f>
        <v/>
      </c>
      <c r="O78" s="18" t="n">
        <v>0</v>
      </c>
      <c r="P78" s="19">
        <f>SUM(C78,D78,H78,L78,M78,N78,O78)</f>
        <v/>
      </c>
    </row>
    <row r="79">
      <c r="A79" s="11" t="n">
        <v>603</v>
      </c>
      <c r="B79" s="12">
        <f>IFERROR(VLOOKUP(A79,ผู้เช่า!$A:$N,2,0),"")</f>
        <v/>
      </c>
      <c r="C79" s="13">
        <f>IFERROR(VLOOKUP(A79,ผู้เช่า!$A:$N,5,0),0)</f>
        <v/>
      </c>
      <c r="D79" s="13">
        <f>IFERROR(VLOOKUP(A79,ผู้เช่า!$A:$N,6,0),0)</f>
        <v/>
      </c>
      <c r="E79" s="14" t="n">
        <v>8335</v>
      </c>
      <c r="F79" s="15" t="n"/>
      <c r="G79" s="16">
        <f>IF(F79="","",F79-E79)</f>
        <v/>
      </c>
      <c r="H79" s="17">
        <f>IF(G79="","",G79*IFERROR(VLOOKUP(A79,ผู้เช่า!$A:$N,9,0),0))</f>
        <v/>
      </c>
      <c r="I79" s="14" t="n">
        <v>374</v>
      </c>
      <c r="J79" s="15" t="n"/>
      <c r="K79" s="16">
        <f>IF(J79="","",J79-I79)</f>
        <v/>
      </c>
      <c r="L79" s="17">
        <f>IF(K79="","",MAX(K79*IFERROR(VLOOKUP(A79,ผู้เช่า!$A:$N,10,0),0),IFERROR(VLOOKUP(A79,ผู้เช่า!$A:$N,14,0),0)))</f>
        <v/>
      </c>
      <c r="M79" s="13">
        <f>IFERROR(VLOOKUP(A79,ผู้เช่า!$A:$N,7,0),0)</f>
        <v/>
      </c>
      <c r="N79" s="13">
        <f>IFERROR(VLOOKUP(A79,ผู้เช่า!$A:$N,8,0),0)</f>
        <v/>
      </c>
      <c r="O79" s="18" t="n">
        <v>300</v>
      </c>
      <c r="P79" s="19">
        <f>SUM(C79,D79,H79,L79,M79,N79,O79)</f>
        <v/>
      </c>
    </row>
    <row r="80">
      <c r="A80" s="11" t="n">
        <v>604</v>
      </c>
      <c r="B80" s="12">
        <f>IFERROR(VLOOKUP(A80,ผู้เช่า!$A:$N,2,0),"")</f>
        <v/>
      </c>
      <c r="C80" s="13">
        <f>IFERROR(VLOOKUP(A80,ผู้เช่า!$A:$N,5,0),0)</f>
        <v/>
      </c>
      <c r="D80" s="13">
        <f>IFERROR(VLOOKUP(A80,ผู้เช่า!$A:$N,6,0),0)</f>
        <v/>
      </c>
      <c r="E80" s="14" t="n"/>
      <c r="F80" s="15" t="n"/>
      <c r="G80" s="16">
        <f>IF(F80="","",F80-E80)</f>
        <v/>
      </c>
      <c r="H80" s="17">
        <f>IF(G80="","",G80*IFERROR(VLOOKUP(A80,ผู้เช่า!$A:$N,9,0),0))</f>
        <v/>
      </c>
      <c r="I80" s="14" t="n"/>
      <c r="J80" s="15" t="n"/>
      <c r="K80" s="16">
        <f>IF(J80="","",J80-I80)</f>
        <v/>
      </c>
      <c r="L80" s="17">
        <f>IF(K80="","",MAX(K80*IFERROR(VLOOKUP(A80,ผู้เช่า!$A:$N,10,0),0),IFERROR(VLOOKUP(A80,ผู้เช่า!$A:$N,14,0),0)))</f>
        <v/>
      </c>
      <c r="M80" s="13">
        <f>IFERROR(VLOOKUP(A80,ผู้เช่า!$A:$N,7,0),0)</f>
        <v/>
      </c>
      <c r="N80" s="13">
        <f>IFERROR(VLOOKUP(A80,ผู้เช่า!$A:$N,8,0),0)</f>
        <v/>
      </c>
      <c r="O80" s="18" t="n">
        <v>0</v>
      </c>
      <c r="P80" s="19">
        <f>SUM(C80,D80,H80,L80,M80,N80,O80)</f>
        <v/>
      </c>
    </row>
    <row r="81">
      <c r="A81" s="11" t="n">
        <v>605</v>
      </c>
      <c r="B81" s="12">
        <f>IFERROR(VLOOKUP(A81,ผู้เช่า!$A:$N,2,0),"")</f>
        <v/>
      </c>
      <c r="C81" s="13">
        <f>IFERROR(VLOOKUP(A81,ผู้เช่า!$A:$N,5,0),0)</f>
        <v/>
      </c>
      <c r="D81" s="13">
        <f>IFERROR(VLOOKUP(A81,ผู้เช่า!$A:$N,6,0),0)</f>
        <v/>
      </c>
      <c r="E81" s="14" t="n"/>
      <c r="F81" s="15" t="n"/>
      <c r="G81" s="16">
        <f>IF(F81="","",F81-E81)</f>
        <v/>
      </c>
      <c r="H81" s="17">
        <f>IF(G81="","",G81*IFERROR(VLOOKUP(A81,ผู้เช่า!$A:$N,9,0),0))</f>
        <v/>
      </c>
      <c r="I81" s="14" t="n"/>
      <c r="J81" s="15" t="n"/>
      <c r="K81" s="16">
        <f>IF(J81="","",J81-I81)</f>
        <v/>
      </c>
      <c r="L81" s="17">
        <f>IF(K81="","",MAX(K81*IFERROR(VLOOKUP(A81,ผู้เช่า!$A:$N,10,0),0),IFERROR(VLOOKUP(A81,ผู้เช่า!$A:$N,14,0),0)))</f>
        <v/>
      </c>
      <c r="M81" s="13">
        <f>IFERROR(VLOOKUP(A81,ผู้เช่า!$A:$N,7,0),0)</f>
        <v/>
      </c>
      <c r="N81" s="13">
        <f>IFERROR(VLOOKUP(A81,ผู้เช่า!$A:$N,8,0),0)</f>
        <v/>
      </c>
      <c r="O81" s="18" t="n">
        <v>0</v>
      </c>
      <c r="P81" s="19">
        <f>SUM(C81,D81,H81,L81,M81,N81,O81)</f>
        <v/>
      </c>
    </row>
    <row r="82">
      <c r="A82" s="11" t="n">
        <v>606</v>
      </c>
      <c r="B82" s="12">
        <f>IFERROR(VLOOKUP(A82,ผู้เช่า!$A:$N,2,0),"")</f>
        <v/>
      </c>
      <c r="C82" s="13">
        <f>IFERROR(VLOOKUP(A82,ผู้เช่า!$A:$N,5,0),0)</f>
        <v/>
      </c>
      <c r="D82" s="13">
        <f>IFERROR(VLOOKUP(A82,ผู้เช่า!$A:$N,6,0),0)</f>
        <v/>
      </c>
      <c r="E82" s="14" t="n">
        <v>6718</v>
      </c>
      <c r="F82" s="15" t="n">
        <v>6826</v>
      </c>
      <c r="G82" s="16">
        <f>IF(F82="","",F82-E82)</f>
        <v/>
      </c>
      <c r="H82" s="17">
        <f>IF(G82="","",G82*IFERROR(VLOOKUP(A82,ผู้เช่า!$A:$N,9,0),0))</f>
        <v/>
      </c>
      <c r="I82" s="14" t="n">
        <v>169</v>
      </c>
      <c r="J82" s="15" t="n">
        <v>175</v>
      </c>
      <c r="K82" s="16">
        <f>IF(J82="","",J82-I82)</f>
        <v/>
      </c>
      <c r="L82" s="17">
        <f>IF(K82="","",MAX(K82*IFERROR(VLOOKUP(A82,ผู้เช่า!$A:$N,10,0),0),IFERROR(VLOOKUP(A82,ผู้เช่า!$A:$N,14,0),0)))</f>
        <v/>
      </c>
      <c r="M82" s="13">
        <f>IFERROR(VLOOKUP(A82,ผู้เช่า!$A:$N,7,0),0)</f>
        <v/>
      </c>
      <c r="N82" s="13">
        <f>IFERROR(VLOOKUP(A82,ผู้เช่า!$A:$N,8,0),0)</f>
        <v/>
      </c>
      <c r="O82" s="18" t="n">
        <v>0</v>
      </c>
      <c r="P82" s="19">
        <f>SUM(C82,D82,H82,L82,M82,N82,O82)</f>
        <v/>
      </c>
    </row>
    <row r="83">
      <c r="A83" s="11" t="n">
        <v>607</v>
      </c>
      <c r="B83" s="12">
        <f>IFERROR(VLOOKUP(A83,ผู้เช่า!$A:$N,2,0),"")</f>
        <v/>
      </c>
      <c r="C83" s="13">
        <f>IFERROR(VLOOKUP(A83,ผู้เช่า!$A:$N,5,0),0)</f>
        <v/>
      </c>
      <c r="D83" s="13">
        <f>IFERROR(VLOOKUP(A83,ผู้เช่า!$A:$N,6,0),0)</f>
        <v/>
      </c>
      <c r="E83" s="14" t="n">
        <v>9999</v>
      </c>
      <c r="F83" s="15" t="n">
        <v>80</v>
      </c>
      <c r="G83" s="16">
        <f>IF(F83="","",F83-E83)</f>
        <v/>
      </c>
      <c r="H83" s="17">
        <f>IF(G83="","",G83*IFERROR(VLOOKUP(A83,ผู้เช่า!$A:$N,9,0),0))</f>
        <v/>
      </c>
      <c r="I83" s="14" t="n">
        <v>573</v>
      </c>
      <c r="J83" s="15" t="n">
        <v>575</v>
      </c>
      <c r="K83" s="16">
        <f>IF(J83="","",J83-I83)</f>
        <v/>
      </c>
      <c r="L83" s="17">
        <f>IF(K83="","",MAX(K83*IFERROR(VLOOKUP(A83,ผู้เช่า!$A:$N,10,0),0),IFERROR(VLOOKUP(A83,ผู้เช่า!$A:$N,14,0),0)))</f>
        <v/>
      </c>
      <c r="M83" s="13">
        <f>IFERROR(VLOOKUP(A83,ผู้เช่า!$A:$N,7,0),0)</f>
        <v/>
      </c>
      <c r="N83" s="13">
        <f>IFERROR(VLOOKUP(A83,ผู้เช่า!$A:$N,8,0),0)</f>
        <v/>
      </c>
      <c r="O83" s="18" t="n">
        <v>0</v>
      </c>
      <c r="P83" s="19">
        <f>SUM(C83,D83,H83,L83,M83,N83,O83)</f>
        <v/>
      </c>
    </row>
    <row r="84">
      <c r="A84" s="11" t="n">
        <v>608</v>
      </c>
      <c r="B84" s="12">
        <f>IFERROR(VLOOKUP(A84,ผู้เช่า!$A:$N,2,0),"")</f>
        <v/>
      </c>
      <c r="C84" s="13">
        <f>IFERROR(VLOOKUP(A84,ผู้เช่า!$A:$N,5,0),0)</f>
        <v/>
      </c>
      <c r="D84" s="13">
        <f>IFERROR(VLOOKUP(A84,ผู้เช่า!$A:$N,6,0),0)</f>
        <v/>
      </c>
      <c r="E84" s="14" t="n">
        <v>3063</v>
      </c>
      <c r="F84" s="15" t="n">
        <v>3416</v>
      </c>
      <c r="G84" s="16">
        <f>IF(F84="","",F84-E84)</f>
        <v/>
      </c>
      <c r="H84" s="17">
        <f>IF(G84="","",G84*IFERROR(VLOOKUP(A84,ผู้เช่า!$A:$N,9,0),0))</f>
        <v/>
      </c>
      <c r="I84" s="14" t="n">
        <v>594</v>
      </c>
      <c r="J84" s="15" t="n">
        <v>599</v>
      </c>
      <c r="K84" s="16">
        <f>IF(J84="","",J84-I84)</f>
        <v/>
      </c>
      <c r="L84" s="17">
        <f>IF(K84="","",MAX(K84*IFERROR(VLOOKUP(A84,ผู้เช่า!$A:$N,10,0),0),IFERROR(VLOOKUP(A84,ผู้เช่า!$A:$N,14,0),0)))</f>
        <v/>
      </c>
      <c r="M84" s="13">
        <f>IFERROR(VLOOKUP(A84,ผู้เช่า!$A:$N,7,0),0)</f>
        <v/>
      </c>
      <c r="N84" s="13">
        <f>IFERROR(VLOOKUP(A84,ผู้เช่า!$A:$N,8,0),0)</f>
        <v/>
      </c>
      <c r="O84" s="18" t="n">
        <v>400</v>
      </c>
      <c r="P84" s="19">
        <f>SUM(C84,D84,H84,L84,M84,N84,O84)</f>
        <v/>
      </c>
    </row>
    <row r="85">
      <c r="A85" s="11" t="n">
        <v>609</v>
      </c>
      <c r="B85" s="12">
        <f>IFERROR(VLOOKUP(A85,ผู้เช่า!$A:$N,2,0),"")</f>
        <v/>
      </c>
      <c r="C85" s="13">
        <f>IFERROR(VLOOKUP(A85,ผู้เช่า!$A:$N,5,0),0)</f>
        <v/>
      </c>
      <c r="D85" s="13">
        <f>IFERROR(VLOOKUP(A85,ผู้เช่า!$A:$N,6,0),0)</f>
        <v/>
      </c>
      <c r="E85" s="14" t="n">
        <v>5923</v>
      </c>
      <c r="F85" s="15" t="n">
        <v>5980</v>
      </c>
      <c r="G85" s="16">
        <f>IF(F85="","",F85-E85)</f>
        <v/>
      </c>
      <c r="H85" s="17">
        <f>IF(G85="","",G85*IFERROR(VLOOKUP(A85,ผู้เช่า!$A:$N,9,0),0))</f>
        <v/>
      </c>
      <c r="I85" s="14" t="n">
        <v>319</v>
      </c>
      <c r="J85" s="15" t="n">
        <v>324</v>
      </c>
      <c r="K85" s="16">
        <f>IF(J85="","",J85-I85)</f>
        <v/>
      </c>
      <c r="L85" s="17">
        <f>IF(K85="","",MAX(K85*IFERROR(VLOOKUP(A85,ผู้เช่า!$A:$N,10,0),0),IFERROR(VLOOKUP(A85,ผู้เช่า!$A:$N,14,0),0)))</f>
        <v/>
      </c>
      <c r="M85" s="13">
        <f>IFERROR(VLOOKUP(A85,ผู้เช่า!$A:$N,7,0),0)</f>
        <v/>
      </c>
      <c r="N85" s="13">
        <f>IFERROR(VLOOKUP(A85,ผู้เช่า!$A:$N,8,0),0)</f>
        <v/>
      </c>
      <c r="O85" s="18" t="n">
        <v>0</v>
      </c>
      <c r="P85" s="19">
        <f>SUM(C85,D85,H85,L85,M85,N85,O85)</f>
        <v/>
      </c>
    </row>
    <row r="86">
      <c r="A86" s="11" t="n">
        <v>610</v>
      </c>
      <c r="B86" s="12">
        <f>IFERROR(VLOOKUP(A86,ผู้เช่า!$A:$N,2,0),"")</f>
        <v/>
      </c>
      <c r="C86" s="13">
        <f>IFERROR(VLOOKUP(A86,ผู้เช่า!$A:$N,5,0),0)</f>
        <v/>
      </c>
      <c r="D86" s="13">
        <f>IFERROR(VLOOKUP(A86,ผู้เช่า!$A:$N,6,0),0)</f>
        <v/>
      </c>
      <c r="E86" s="14" t="n">
        <v>5401</v>
      </c>
      <c r="F86" s="15" t="n">
        <v>5656</v>
      </c>
      <c r="G86" s="16">
        <f>IF(F86="","",F86-E86)</f>
        <v/>
      </c>
      <c r="H86" s="17">
        <f>IF(G86="","",G86*IFERROR(VLOOKUP(A86,ผู้เช่า!$A:$N,9,0),0))</f>
        <v/>
      </c>
      <c r="I86" s="14" t="n">
        <v>220</v>
      </c>
      <c r="J86" s="15" t="n">
        <v>225</v>
      </c>
      <c r="K86" s="16">
        <f>IF(J86="","",J86-I86)</f>
        <v/>
      </c>
      <c r="L86" s="17">
        <f>IF(K86="","",MAX(K86*IFERROR(VLOOKUP(A86,ผู้เช่า!$A:$N,10,0),0),IFERROR(VLOOKUP(A86,ผู้เช่า!$A:$N,14,0),0)))</f>
        <v/>
      </c>
      <c r="M86" s="13">
        <f>IFERROR(VLOOKUP(A86,ผู้เช่า!$A:$N,7,0),0)</f>
        <v/>
      </c>
      <c r="N86" s="13">
        <f>IFERROR(VLOOKUP(A86,ผู้เช่า!$A:$N,8,0),0)</f>
        <v/>
      </c>
      <c r="O86" s="18" t="n">
        <v>100</v>
      </c>
      <c r="P86" s="19">
        <f>SUM(C86,D86,H86,L86,M86,N86,O86)</f>
        <v/>
      </c>
    </row>
    <row r="87">
      <c r="A87" s="11" t="n">
        <v>611</v>
      </c>
      <c r="B87" s="12">
        <f>IFERROR(VLOOKUP(A87,ผู้เช่า!$A:$N,2,0),"")</f>
        <v/>
      </c>
      <c r="C87" s="13">
        <f>IFERROR(VLOOKUP(A87,ผู้เช่า!$A:$N,5,0),0)</f>
        <v/>
      </c>
      <c r="D87" s="13">
        <f>IFERROR(VLOOKUP(A87,ผู้เช่า!$A:$N,6,0),0)</f>
        <v/>
      </c>
      <c r="E87" s="14" t="n">
        <v>5825</v>
      </c>
      <c r="F87" s="15" t="n">
        <v>5854</v>
      </c>
      <c r="G87" s="16">
        <f>IF(F87="","",F87-E87)</f>
        <v/>
      </c>
      <c r="H87" s="17">
        <f>IF(G87="","",G87*IFERROR(VLOOKUP(A87,ผู้เช่า!$A:$N,9,0),0))</f>
        <v/>
      </c>
      <c r="I87" s="14" t="n">
        <v>255</v>
      </c>
      <c r="J87" s="15" t="n">
        <v>256</v>
      </c>
      <c r="K87" s="16">
        <f>IF(J87="","",J87-I87)</f>
        <v/>
      </c>
      <c r="L87" s="17">
        <f>IF(K87="","",MAX(K87*IFERROR(VLOOKUP(A87,ผู้เช่า!$A:$N,10,0),0),IFERROR(VLOOKUP(A87,ผู้เช่า!$A:$N,14,0),0)))</f>
        <v/>
      </c>
      <c r="M87" s="13">
        <f>IFERROR(VLOOKUP(A87,ผู้เช่า!$A:$N,7,0),0)</f>
        <v/>
      </c>
      <c r="N87" s="13">
        <f>IFERROR(VLOOKUP(A87,ผู้เช่า!$A:$N,8,0),0)</f>
        <v/>
      </c>
      <c r="O87" s="18" t="n">
        <v>0</v>
      </c>
      <c r="P87" s="19">
        <f>SUM(C87,D87,H87,L87,M87,N87,O87)</f>
        <v/>
      </c>
    </row>
    <row r="88">
      <c r="A88" s="11" t="n">
        <v>612</v>
      </c>
      <c r="B88" s="12">
        <f>IFERROR(VLOOKUP(A88,ผู้เช่า!$A:$N,2,0),"")</f>
        <v/>
      </c>
      <c r="C88" s="13">
        <f>IFERROR(VLOOKUP(A88,ผู้เช่า!$A:$N,5,0),0)</f>
        <v/>
      </c>
      <c r="D88" s="13">
        <f>IFERROR(VLOOKUP(A88,ผู้เช่า!$A:$N,6,0),0)</f>
        <v/>
      </c>
      <c r="E88" s="14" t="n">
        <v>800</v>
      </c>
      <c r="F88" s="15" t="n">
        <v>1007</v>
      </c>
      <c r="G88" s="16">
        <f>IF(F88="","",F88-E88)</f>
        <v/>
      </c>
      <c r="H88" s="17">
        <f>IF(G88="","",G88*IFERROR(VLOOKUP(A88,ผู้เช่า!$A:$N,9,0),0))</f>
        <v/>
      </c>
      <c r="I88" s="14" t="n">
        <v>250</v>
      </c>
      <c r="J88" s="15" t="n">
        <v>253</v>
      </c>
      <c r="K88" s="16">
        <f>IF(J88="","",J88-I88)</f>
        <v/>
      </c>
      <c r="L88" s="17">
        <f>IF(K88="","",MAX(K88*IFERROR(VLOOKUP(A88,ผู้เช่า!$A:$N,10,0),0),IFERROR(VLOOKUP(A88,ผู้เช่า!$A:$N,14,0),0)))</f>
        <v/>
      </c>
      <c r="M88" s="13">
        <f>IFERROR(VLOOKUP(A88,ผู้เช่า!$A:$N,7,0),0)</f>
        <v/>
      </c>
      <c r="N88" s="13">
        <f>IFERROR(VLOOKUP(A88,ผู้เช่า!$A:$N,8,0),0)</f>
        <v/>
      </c>
      <c r="O88" s="18" t="n">
        <v>0</v>
      </c>
      <c r="P88" s="19">
        <f>SUM(C88,D88,H88,L88,M88,N88,O88)</f>
        <v/>
      </c>
    </row>
    <row r="89">
      <c r="A89" s="11" t="n">
        <v>613</v>
      </c>
      <c r="B89" s="12">
        <f>IFERROR(VLOOKUP(A89,ผู้เช่า!$A:$N,2,0),"")</f>
        <v/>
      </c>
      <c r="C89" s="13">
        <f>IFERROR(VLOOKUP(A89,ผู้เช่า!$A:$N,5,0),0)</f>
        <v/>
      </c>
      <c r="D89" s="13">
        <f>IFERROR(VLOOKUP(A89,ผู้เช่า!$A:$N,6,0),0)</f>
        <v/>
      </c>
      <c r="E89" s="14" t="n"/>
      <c r="F89" s="15" t="n"/>
      <c r="G89" s="16">
        <f>IF(F89="","",F89-E89)</f>
        <v/>
      </c>
      <c r="H89" s="17">
        <f>IF(G89="","",G89*IFERROR(VLOOKUP(A89,ผู้เช่า!$A:$N,9,0),0))</f>
        <v/>
      </c>
      <c r="I89" s="14" t="n"/>
      <c r="J89" s="15" t="n"/>
      <c r="K89" s="16">
        <f>IF(J89="","",J89-I89)</f>
        <v/>
      </c>
      <c r="L89" s="17">
        <f>IF(K89="","",MAX(K89*IFERROR(VLOOKUP(A89,ผู้เช่า!$A:$N,10,0),0),IFERROR(VLOOKUP(A89,ผู้เช่า!$A:$N,14,0),0)))</f>
        <v/>
      </c>
      <c r="M89" s="13">
        <f>IFERROR(VLOOKUP(A89,ผู้เช่า!$A:$N,7,0),0)</f>
        <v/>
      </c>
      <c r="N89" s="13">
        <f>IFERROR(VLOOKUP(A89,ผู้เช่า!$A:$N,8,0),0)</f>
        <v/>
      </c>
      <c r="O89" s="18" t="n">
        <v>0</v>
      </c>
      <c r="P89" s="19">
        <f>SUM(C89,D89,H89,L89,M89,N89,O89)</f>
        <v/>
      </c>
    </row>
    <row r="90">
      <c r="A90" s="11" t="n">
        <v>614</v>
      </c>
      <c r="B90" s="12">
        <f>IFERROR(VLOOKUP(A90,ผู้เช่า!$A:$N,2,0),"")</f>
        <v/>
      </c>
      <c r="C90" s="13">
        <f>IFERROR(VLOOKUP(A90,ผู้เช่า!$A:$N,5,0),0)</f>
        <v/>
      </c>
      <c r="D90" s="13">
        <f>IFERROR(VLOOKUP(A90,ผู้เช่า!$A:$N,6,0),0)</f>
        <v/>
      </c>
      <c r="E90" s="14" t="n">
        <v>9057</v>
      </c>
      <c r="F90" s="15" t="n">
        <v>9063</v>
      </c>
      <c r="G90" s="16">
        <f>IF(F90="","",F90-E90)</f>
        <v/>
      </c>
      <c r="H90" s="17">
        <f>IF(G90="","",G90*IFERROR(VLOOKUP(A90,ผู้เช่า!$A:$N,9,0),0))</f>
        <v/>
      </c>
      <c r="I90" s="14" t="n">
        <v>392</v>
      </c>
      <c r="J90" s="15" t="n">
        <v>397</v>
      </c>
      <c r="K90" s="16">
        <f>IF(J90="","",J90-I90)</f>
        <v/>
      </c>
      <c r="L90" s="17">
        <f>IF(K90="","",MAX(K90*IFERROR(VLOOKUP(A90,ผู้เช่า!$A:$N,10,0),0),IFERROR(VLOOKUP(A90,ผู้เช่า!$A:$N,14,0),0)))</f>
        <v/>
      </c>
      <c r="M90" s="13">
        <f>IFERROR(VLOOKUP(A90,ผู้เช่า!$A:$N,7,0),0)</f>
        <v/>
      </c>
      <c r="N90" s="13">
        <f>IFERROR(VLOOKUP(A90,ผู้เช่า!$A:$N,8,0),0)</f>
        <v/>
      </c>
      <c r="O90" s="18" t="n">
        <v>0</v>
      </c>
      <c r="P90" s="19">
        <f>SUM(C90,D90,H90,L90,M90,N90,O90)</f>
        <v/>
      </c>
    </row>
    <row r="91">
      <c r="A91" s="11" t="n">
        <v>615</v>
      </c>
      <c r="B91" s="12">
        <f>IFERROR(VLOOKUP(A91,ผู้เช่า!$A:$N,2,0),"")</f>
        <v/>
      </c>
      <c r="C91" s="13">
        <f>IFERROR(VLOOKUP(A91,ผู้เช่า!$A:$N,5,0),0)</f>
        <v/>
      </c>
      <c r="D91" s="13">
        <f>IFERROR(VLOOKUP(A91,ผู้เช่า!$A:$N,6,0),0)</f>
        <v/>
      </c>
      <c r="E91" s="14" t="n"/>
      <c r="F91" s="15" t="n"/>
      <c r="G91" s="16">
        <f>IF(F91="","",F91-E91)</f>
        <v/>
      </c>
      <c r="H91" s="17">
        <f>IF(G91="","",G91*IFERROR(VLOOKUP(A91,ผู้เช่า!$A:$N,9,0),0))</f>
        <v/>
      </c>
      <c r="I91" s="14" t="n"/>
      <c r="J91" s="15" t="n"/>
      <c r="K91" s="16">
        <f>IF(J91="","",J91-I91)</f>
        <v/>
      </c>
      <c r="L91" s="17">
        <f>IF(K91="","",MAX(K91*IFERROR(VLOOKUP(A91,ผู้เช่า!$A:$N,10,0),0),IFERROR(VLOOKUP(A91,ผู้เช่า!$A:$N,14,0),0)))</f>
        <v/>
      </c>
      <c r="M91" s="13">
        <f>IFERROR(VLOOKUP(A91,ผู้เช่า!$A:$N,7,0),0)</f>
        <v/>
      </c>
      <c r="N91" s="13">
        <f>IFERROR(VLOOKUP(A91,ผู้เช่า!$A:$N,8,0),0)</f>
        <v/>
      </c>
      <c r="O91" s="18" t="n">
        <v>0</v>
      </c>
      <c r="P91" s="19">
        <f>SUM(C91,D91,H91,L91,M91,N91,O91)</f>
        <v/>
      </c>
    </row>
    <row r="92">
      <c r="A92" s="11" t="n">
        <v>616</v>
      </c>
      <c r="B92" s="12">
        <f>IFERROR(VLOOKUP(A92,ผู้เช่า!$A:$N,2,0),"")</f>
        <v/>
      </c>
      <c r="C92" s="13">
        <f>IFERROR(VLOOKUP(A92,ผู้เช่า!$A:$N,5,0),0)</f>
        <v/>
      </c>
      <c r="D92" s="13">
        <f>IFERROR(VLOOKUP(A92,ผู้เช่า!$A:$N,6,0),0)</f>
        <v/>
      </c>
      <c r="E92" s="14" t="n">
        <v>6841</v>
      </c>
      <c r="F92" s="15" t="n">
        <v>7015</v>
      </c>
      <c r="G92" s="16">
        <f>IF(F92="","",F92-E92)</f>
        <v/>
      </c>
      <c r="H92" s="17">
        <f>IF(G92="","",G92*IFERROR(VLOOKUP(A92,ผู้เช่า!$A:$N,9,0),0))</f>
        <v/>
      </c>
      <c r="I92" s="14" t="n">
        <v>54</v>
      </c>
      <c r="J92" s="15" t="n">
        <v>59</v>
      </c>
      <c r="K92" s="16">
        <f>IF(J92="","",J92-I92)</f>
        <v/>
      </c>
      <c r="L92" s="17">
        <f>IF(K92="","",MAX(K92*IFERROR(VLOOKUP(A92,ผู้เช่า!$A:$N,10,0),0),IFERROR(VLOOKUP(A92,ผู้เช่า!$A:$N,14,0),0)))</f>
        <v/>
      </c>
      <c r="M92" s="13">
        <f>IFERROR(VLOOKUP(A92,ผู้เช่า!$A:$N,7,0),0)</f>
        <v/>
      </c>
      <c r="N92" s="13">
        <f>IFERROR(VLOOKUP(A92,ผู้เช่า!$A:$N,8,0),0)</f>
        <v/>
      </c>
      <c r="O92" s="18" t="n">
        <v>0</v>
      </c>
      <c r="P92" s="19">
        <f>SUM(C92,D92,H92,L92,M92,N92,O92)</f>
        <v/>
      </c>
    </row>
    <row r="93">
      <c r="A93" s="11" t="n">
        <v>617</v>
      </c>
      <c r="B93" s="12">
        <f>IFERROR(VLOOKUP(A93,ผู้เช่า!$A:$N,2,0),"")</f>
        <v/>
      </c>
      <c r="C93" s="13">
        <f>IFERROR(VLOOKUP(A93,ผู้เช่า!$A:$N,5,0),0)</f>
        <v/>
      </c>
      <c r="D93" s="13">
        <f>IFERROR(VLOOKUP(A93,ผู้เช่า!$A:$N,6,0),0)</f>
        <v/>
      </c>
      <c r="E93" s="14" t="n">
        <v>9026</v>
      </c>
      <c r="F93" s="15" t="n"/>
      <c r="G93" s="16">
        <f>IF(F93="","",F93-E93)</f>
        <v/>
      </c>
      <c r="H93" s="17">
        <f>IF(G93="","",G93*IFERROR(VLOOKUP(A93,ผู้เช่า!$A:$N,9,0),0))</f>
        <v/>
      </c>
      <c r="I93" s="14" t="n">
        <v>350</v>
      </c>
      <c r="J93" s="15" t="n"/>
      <c r="K93" s="16">
        <f>IF(J93="","",J93-I93)</f>
        <v/>
      </c>
      <c r="L93" s="17">
        <f>IF(K93="","",MAX(K93*IFERROR(VLOOKUP(A93,ผู้เช่า!$A:$N,10,0),0),IFERROR(VLOOKUP(A93,ผู้เช่า!$A:$N,14,0),0)))</f>
        <v/>
      </c>
      <c r="M93" s="13">
        <f>IFERROR(VLOOKUP(A93,ผู้เช่า!$A:$N,7,0),0)</f>
        <v/>
      </c>
      <c r="N93" s="13">
        <f>IFERROR(VLOOKUP(A93,ผู้เช่า!$A:$N,8,0),0)</f>
        <v/>
      </c>
      <c r="O93" s="18" t="n">
        <v>300</v>
      </c>
      <c r="P93" s="19">
        <f>SUM(C93,D93,H93,L93,M93,N93,O93)</f>
        <v/>
      </c>
    </row>
    <row r="94">
      <c r="A94" s="11" t="n">
        <v>618</v>
      </c>
      <c r="B94" s="12">
        <f>IFERROR(VLOOKUP(A94,ผู้เช่า!$A:$N,2,0),"")</f>
        <v/>
      </c>
      <c r="C94" s="13">
        <f>IFERROR(VLOOKUP(A94,ผู้เช่า!$A:$N,5,0),0)</f>
        <v/>
      </c>
      <c r="D94" s="13">
        <f>IFERROR(VLOOKUP(A94,ผู้เช่า!$A:$N,6,0),0)</f>
        <v/>
      </c>
      <c r="E94" s="14" t="n">
        <v>9194</v>
      </c>
      <c r="F94" s="15" t="n">
        <v>9295</v>
      </c>
      <c r="G94" s="16">
        <f>IF(F94="","",F94-E94)</f>
        <v/>
      </c>
      <c r="H94" s="17">
        <f>IF(G94="","",G94*IFERROR(VLOOKUP(A94,ผู้เช่า!$A:$N,9,0),0))</f>
        <v/>
      </c>
      <c r="I94" s="14" t="n">
        <v>512</v>
      </c>
      <c r="J94" s="15" t="n">
        <v>517</v>
      </c>
      <c r="K94" s="16">
        <f>IF(J94="","",J94-I94)</f>
        <v/>
      </c>
      <c r="L94" s="17">
        <f>IF(K94="","",MAX(K94*IFERROR(VLOOKUP(A94,ผู้เช่า!$A:$N,10,0),0),IFERROR(VLOOKUP(A94,ผู้เช่า!$A:$N,14,0),0)))</f>
        <v/>
      </c>
      <c r="M94" s="13">
        <f>IFERROR(VLOOKUP(A94,ผู้เช่า!$A:$N,7,0),0)</f>
        <v/>
      </c>
      <c r="N94" s="13">
        <f>IFERROR(VLOOKUP(A94,ผู้เช่า!$A:$N,8,0),0)</f>
        <v/>
      </c>
      <c r="O94" s="18" t="n">
        <v>0</v>
      </c>
      <c r="P94" s="19">
        <f>SUM(C94,D94,H94,L94,M94,N94,O94)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1" customWidth="1" min="4" max="4"/>
    <col width="9" customWidth="1" min="5" max="5"/>
    <col width="13" customWidth="1" min="6" max="6"/>
    <col width="13" customWidth="1" min="7" max="7"/>
    <col width="13" customWidth="1" min="8" max="8"/>
    <col width="14" customWidth="1" min="10" max="10"/>
  </cols>
  <sheetData>
    <row r="1" ht="30" customHeight="1">
      <c r="A1" s="20" t="inlineStr">
        <is>
          <t>ใบแจ้งหนี้</t>
        </is>
      </c>
      <c r="J1" s="21" t="inlineStr">
        <is>
          <t>เลือกห้อง:</t>
        </is>
      </c>
    </row>
    <row r="2">
      <c r="A2" s="22" t="inlineStr">
        <is>
          <t>อพาร์ทเม้นท์ มั่งมีทวีสุข</t>
        </is>
      </c>
      <c r="J2" s="23" t="n">
        <v>201</v>
      </c>
    </row>
    <row r="3">
      <c r="A3" s="24" t="inlineStr">
        <is>
          <t>558/1 ถนนท่าดินแดง 16 แขวงคลองสาน เขตคลองสาน กรุงเทพฯ 10600</t>
        </is>
      </c>
      <c r="J3" s="25" t="inlineStr">
        <is>
          <t>← เลือกห้องที่นี่</t>
        </is>
      </c>
    </row>
    <row r="5">
      <c r="A5" s="26" t="inlineStr">
        <is>
          <t>ชื่อลูกค้า :</t>
        </is>
      </c>
      <c r="B5" s="27">
        <f>IFERROR(VLOOKUP($J$2,ผู้เช่า!$A:$N,2,0),"")</f>
        <v/>
      </c>
      <c r="F5" s="26" t="inlineStr">
        <is>
          <t>ห้อง :</t>
        </is>
      </c>
      <c r="G5" s="28">
        <f>$J$2</f>
        <v/>
      </c>
    </row>
    <row r="6">
      <c r="A6" s="26" t="inlineStr">
        <is>
          <t>ที่อยู่ :</t>
        </is>
      </c>
      <c r="B6" s="29">
        <f>IFERROR(VLOOKUP($J$2,ผู้เช่า!$A:$N,3,0),"")</f>
        <v/>
      </c>
      <c r="F6" s="26" t="inlineStr">
        <is>
          <t>วันที่ :</t>
        </is>
      </c>
      <c r="G6" s="24">
        <f>TEXT(TODAY(),"d/m/yyyy")</f>
        <v/>
      </c>
    </row>
    <row r="7">
      <c r="F7" s="26" t="inlineStr">
        <is>
          <t>เดือนค่าเช่า :</t>
        </is>
      </c>
      <c r="G7" s="24">
        <f>'บันทึกค่าน้ำไฟ'!$D$1</f>
        <v/>
      </c>
    </row>
    <row r="8">
      <c r="F8" s="26" t="inlineStr">
        <is>
          <t>เดือนน้ำ-ไฟ :</t>
        </is>
      </c>
      <c r="G8" s="24">
        <f>'บันทึกค่าน้ำไฟ'!$D$2</f>
        <v/>
      </c>
    </row>
    <row r="10">
      <c r="A10" s="10" t="inlineStr">
        <is>
          <t>ลำดับ</t>
        </is>
      </c>
      <c r="B10" s="10" t="inlineStr">
        <is>
          <t>รายการ</t>
        </is>
      </c>
      <c r="C10" s="30" t="n"/>
      <c r="D10" s="10" t="inlineStr">
        <is>
          <t>จำนวน</t>
        </is>
      </c>
      <c r="E10" s="10" t="inlineStr">
        <is>
          <t>หน่วย</t>
        </is>
      </c>
      <c r="F10" s="10" t="inlineStr">
        <is>
          <t>ราคา/หน่วย</t>
        </is>
      </c>
      <c r="G10" s="10" t="inlineStr">
        <is>
          <t>จำนวนเงิน</t>
        </is>
      </c>
      <c r="H10" s="30" t="n"/>
    </row>
    <row r="11">
      <c r="A11" s="11" t="n">
        <v>1</v>
      </c>
      <c r="B11" s="12" t="inlineStr">
        <is>
          <t>ค่าเช่าห้อง</t>
        </is>
      </c>
      <c r="C11" s="31" t="n"/>
      <c r="D11" s="13" t="n">
        <v>1</v>
      </c>
      <c r="E11" s="11" t="inlineStr">
        <is>
          <t>ห้อง</t>
        </is>
      </c>
      <c r="F11" s="32">
        <f>IFERROR(VLOOKUP($J$2,'บันทึกค่าน้ำไฟ'!$A:$P,3,0),0)</f>
        <v/>
      </c>
      <c r="G11" s="32">
        <f>IFERROR(VLOOKUP($J$2,'บันทึกค่าน้ำไฟ'!$A:$P,3,0),0)</f>
        <v/>
      </c>
      <c r="H11" s="31" t="n"/>
    </row>
    <row r="12">
      <c r="A12" s="11" t="n">
        <v>2</v>
      </c>
      <c r="B12" s="12" t="inlineStr">
        <is>
          <t>ค่าเช่าเฟอร์นิเจอร์</t>
        </is>
      </c>
      <c r="C12" s="31" t="n"/>
      <c r="D12" s="13" t="n">
        <v>1</v>
      </c>
      <c r="E12" s="11" t="inlineStr">
        <is>
          <t>ชุด</t>
        </is>
      </c>
      <c r="F12" s="32">
        <f>IFERROR(VLOOKUP($J$2,'บันทึกค่าน้ำไฟ'!$A:$P,4,0),0)</f>
        <v/>
      </c>
      <c r="G12" s="32">
        <f>IFERROR(VLOOKUP($J$2,'บันทึกค่าน้ำไฟ'!$A:$P,4,0),0)</f>
        <v/>
      </c>
      <c r="H12" s="31" t="n"/>
    </row>
    <row r="13">
      <c r="A13" s="11" t="n">
        <v>3</v>
      </c>
      <c r="B13" s="12">
        <f>"ค่าไฟฟ้า  (เลขเก่า "&amp;IFERROR(VLOOKUP($J$2,'บันทึกค่าน้ำไฟ'!$A:$P,5,0),"")&amp;"  ถึง  "&amp;IFERROR(VLOOKUP($J$2,'บันทึกค่าน้ำไฟ'!$A:$P,6,0),"")&amp;")"</f>
        <v/>
      </c>
      <c r="C13" s="31" t="n"/>
      <c r="D13" s="13">
        <f>IFERROR(VLOOKUP($J$2,'บันทึกค่าน้ำไฟ'!$A:$P,7,0),0)</f>
        <v/>
      </c>
      <c r="E13" s="11" t="inlineStr">
        <is>
          <t>ยูนิต</t>
        </is>
      </c>
      <c r="F13" s="32">
        <f>IFERROR(VLOOKUP($J$2,ผู้เช่า!$A:$N,9,0),0)</f>
        <v/>
      </c>
      <c r="G13" s="32">
        <f>IFERROR(VLOOKUP($J$2,'บันทึกค่าน้ำไฟ'!$A:$P,8,0),0)</f>
        <v/>
      </c>
      <c r="H13" s="31" t="n"/>
    </row>
    <row r="14">
      <c r="A14" s="11" t="n">
        <v>4</v>
      </c>
      <c r="B14" s="12">
        <f>"ค่าน้ำประปา  (เลขเก่า "&amp;IFERROR(VLOOKUP($J$2,'บันทึกค่าน้ำไฟ'!$A:$P,9,0),"")&amp;"  ถึง  "&amp;IFERROR(VLOOKUP($J$2,'บันทึกค่าน้ำไฟ'!$A:$P,10,0),"")&amp;")"</f>
        <v/>
      </c>
      <c r="C14" s="31" t="n"/>
      <c r="D14" s="13">
        <f>IFERROR(VLOOKUP($J$2,'บันทึกค่าน้ำไฟ'!$A:$P,11,0),0)</f>
        <v/>
      </c>
      <c r="E14" s="11" t="inlineStr">
        <is>
          <t>ยูนิต</t>
        </is>
      </c>
      <c r="F14" s="32">
        <f>IFERROR(VLOOKUP($J$2,ผู้เช่า!$A:$N,10,0),0)</f>
        <v/>
      </c>
      <c r="G14" s="32">
        <f>IFERROR(VLOOKUP($J$2,'บันทึกค่าน้ำไฟ'!$A:$P,12,0),0)</f>
        <v/>
      </c>
      <c r="H14" s="31" t="n"/>
    </row>
    <row r="15">
      <c r="A15" s="11" t="n">
        <v>5</v>
      </c>
      <c r="B15" s="12" t="inlineStr">
        <is>
          <t>ค่าส่วนกลาง</t>
        </is>
      </c>
      <c r="C15" s="31" t="n"/>
      <c r="D15" s="13" t="n">
        <v>1</v>
      </c>
      <c r="E15" s="11" t="inlineStr">
        <is>
          <t>เดือน</t>
        </is>
      </c>
      <c r="F15" s="32">
        <f>IFERROR(VLOOKUP($J$2,'บันทึกค่าน้ำไฟ'!$A:$P,13,0),0)</f>
        <v/>
      </c>
      <c r="G15" s="32">
        <f>IFERROR(VLOOKUP($J$2,'บันทึกค่าน้ำไฟ'!$A:$P,13,0),0)</f>
        <v/>
      </c>
      <c r="H15" s="31" t="n"/>
    </row>
    <row r="16">
      <c r="A16" s="11" t="n">
        <v>6</v>
      </c>
      <c r="B16" s="12" t="inlineStr">
        <is>
          <t>ค่าขยะ</t>
        </is>
      </c>
      <c r="C16" s="31" t="n"/>
      <c r="D16" s="13" t="n">
        <v>1</v>
      </c>
      <c r="E16" s="11" t="inlineStr">
        <is>
          <t>เดือน</t>
        </is>
      </c>
      <c r="F16" s="32">
        <f>IFERROR(VLOOKUP($J$2,'บันทึกค่าน้ำไฟ'!$A:$P,14,0),0)</f>
        <v/>
      </c>
      <c r="G16" s="32">
        <f>IFERROR(VLOOKUP($J$2,'บันทึกค่าน้ำไฟ'!$A:$P,14,0),0)</f>
        <v/>
      </c>
      <c r="H16" s="31" t="n"/>
    </row>
    <row r="17">
      <c r="A17" s="11" t="n">
        <v>7</v>
      </c>
      <c r="B17" s="12" t="inlineStr">
        <is>
          <t>อื่นๆ</t>
        </is>
      </c>
      <c r="C17" s="31" t="n"/>
      <c r="D17" s="13" t="inlineStr"/>
      <c r="E17" s="11" t="inlineStr"/>
      <c r="F17" s="32" t="inlineStr"/>
      <c r="G17" s="32">
        <f>IFERROR(VLOOKUP($J$2,'บันทึกค่าน้ำไฟ'!$A:$P,15,0),0)</f>
        <v/>
      </c>
      <c r="H17" s="31" t="n"/>
    </row>
    <row r="18">
      <c r="A18" s="33">
        <f>"หมายเหตุ : ค่าเช่าห้องเดือน "&amp;'บันทึกค่าน้ำไฟ'!$D$1&amp;"   /   ค่าน้ำ-ค่าไฟเดือน "&amp;'บันทึกค่าน้ำไฟ'!$D$2</f>
        <v/>
      </c>
    </row>
    <row r="19">
      <c r="F19" s="34" t="inlineStr">
        <is>
          <t>รวมทั้งสิ้น (บาท)</t>
        </is>
      </c>
      <c r="G19" s="35">
        <f>IFERROR(VLOOKUP($J$2,'บันทึกค่าน้ำไฟ'!$A:$P,16,0),0)</f>
        <v/>
      </c>
      <c r="H19" s="31" t="n"/>
    </row>
    <row r="20">
      <c r="A20" s="36">
        <f>"(ตัวอักษร)  "&amp;IFERROR(BAHTTEXT(IFERROR(VLOOKUP($J$2,'บันทึกค่าน้ำไฟ'!$A:$P,16,0),0)),"")</f>
        <v/>
      </c>
      <c r="B20" s="31" t="n"/>
      <c r="C20" s="31" t="n"/>
      <c r="D20" s="31" t="n"/>
      <c r="E20" s="31" t="n"/>
      <c r="F20" s="31" t="n"/>
      <c r="G20" s="31" t="n"/>
      <c r="H20" s="31" t="n"/>
    </row>
    <row r="22">
      <c r="A22" s="37" t="inlineStr">
        <is>
          <t>ชำระเงินผ่าน : ธนาคารเกียรตินาคินภัทร  เลขที่บัญชี 20-0208389-2  นายชวนันท์ สุขพรชัยรัก</t>
        </is>
      </c>
    </row>
    <row r="23">
      <c r="A23" s="38" t="inlineStr">
        <is>
          <t>กรุณาชำระภายในวันที่ 5 ของเดือนถัดไป (ชำระหลังวันที่ 5 คิดค่าธรรมเนียมล่าช้าวันละ 200 บาท)</t>
        </is>
      </c>
    </row>
    <row r="24">
      <c r="A24" s="29" t="inlineStr">
        <is>
          <t>โอนแล้วกรุณาแจ้งผ่าน LINE ID : MT.Apartment  (หากไม่แจ้ง ทางเราจะถือว่ายังไม่ได้รับเงินค่ะ)</t>
        </is>
      </c>
    </row>
    <row r="27">
      <c r="F27" s="24" t="inlineStr">
        <is>
          <t>ผู้จัดทำ ...............................................</t>
        </is>
      </c>
    </row>
  </sheetData>
  <mergeCells count="29">
    <mergeCell ref="G12:H12"/>
    <mergeCell ref="B16:C16"/>
    <mergeCell ref="A24:H24"/>
    <mergeCell ref="G11:H11"/>
    <mergeCell ref="A18:F18"/>
    <mergeCell ref="A1:H1"/>
    <mergeCell ref="G17:H17"/>
    <mergeCell ref="B12:C12"/>
    <mergeCell ref="B11:C11"/>
    <mergeCell ref="G10:H10"/>
    <mergeCell ref="F27:H27"/>
    <mergeCell ref="G19:H19"/>
    <mergeCell ref="B14:C14"/>
    <mergeCell ref="G13:H13"/>
    <mergeCell ref="B17:C17"/>
    <mergeCell ref="B6:D6"/>
    <mergeCell ref="B13:C13"/>
    <mergeCell ref="A3:H3"/>
    <mergeCell ref="B5:D5"/>
    <mergeCell ref="G15:H15"/>
    <mergeCell ref="A2:H2"/>
    <mergeCell ref="B10:C10"/>
    <mergeCell ref="G14:H14"/>
    <mergeCell ref="A23:H23"/>
    <mergeCell ref="A22:H22"/>
    <mergeCell ref="B15:C15"/>
    <mergeCell ref="G16:H16"/>
    <mergeCell ref="A20:H20"/>
    <mergeCell ref="A19:E19"/>
  </mergeCells>
  <dataValidations count="1">
    <dataValidation sqref="J2" showDropDown="0" showInputMessage="0" showErrorMessage="0" allowBlank="0" type="list">
      <formula1>='บันทึกค่าน้ำไฟ'!$A$5:$A$94</formula1>
    </dataValidation>
  </dataValidations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0" customWidth="1" min="3" max="3"/>
    <col width="14" customWidth="1" min="4" max="4"/>
    <col width="11" customWidth="1" min="5" max="5"/>
    <col width="12" customWidth="1" min="6" max="6"/>
    <col width="11" customWidth="1" min="7" max="7"/>
    <col width="9" customWidth="1" min="8" max="8"/>
    <col width="12" customWidth="1" min="9" max="9"/>
    <col width="12" customWidth="1" min="10" max="10"/>
    <col width="15" customWidth="1" min="11" max="11"/>
    <col width="12" customWidth="1" min="12" max="12"/>
    <col width="24" customWidth="1" min="13" max="13"/>
    <col width="11" customWidth="1" min="14" max="14"/>
  </cols>
  <sheetData>
    <row r="1">
      <c r="A1" s="39" t="inlineStr">
        <is>
          <t>ห้อง</t>
        </is>
      </c>
      <c r="B1" s="39" t="inlineStr">
        <is>
          <t>ชื่อผู้เช่า</t>
        </is>
      </c>
      <c r="C1" s="39" t="inlineStr">
        <is>
          <t>ที่อยู่</t>
        </is>
      </c>
      <c r="D1" s="39" t="inlineStr">
        <is>
          <t>เบอร์โทร</t>
        </is>
      </c>
      <c r="E1" s="39" t="inlineStr">
        <is>
          <t>ค่าเช่า/เดือน</t>
        </is>
      </c>
      <c r="F1" s="39" t="inlineStr">
        <is>
          <t>ค่าเฟอร์/เดือน</t>
        </is>
      </c>
      <c r="G1" s="39" t="inlineStr">
        <is>
          <t>ค่าส่วนกลาง</t>
        </is>
      </c>
      <c r="H1" s="39" t="inlineStr">
        <is>
          <t>ค่าขยะ</t>
        </is>
      </c>
      <c r="I1" s="39" t="inlineStr">
        <is>
          <t>เรทค่าไฟ/หน่วย</t>
        </is>
      </c>
      <c r="J1" s="39" t="inlineStr">
        <is>
          <t>เรทค่าน้ำ/หน่วย</t>
        </is>
      </c>
      <c r="K1" s="39" t="inlineStr">
        <is>
          <t>เลขที่สัญญา</t>
        </is>
      </c>
      <c r="L1" s="39" t="inlineStr">
        <is>
          <t>วันเข้าอยู่</t>
        </is>
      </c>
      <c r="M1" s="39" t="inlineStr">
        <is>
          <t>สถานะ/หมายเหตุ</t>
        </is>
      </c>
      <c r="N1" s="39" t="inlineStr">
        <is>
          <t>ค่าน้ำขั้นต่ำ</t>
        </is>
      </c>
    </row>
    <row r="2">
      <c r="A2" s="11" t="n">
        <v>201</v>
      </c>
      <c r="B2" s="12" t="inlineStr">
        <is>
          <t>นางสาวญาติกาญจน์ การไมตรี</t>
        </is>
      </c>
      <c r="C2" s="12" t="inlineStr">
        <is>
          <t>463/14 หมู่ที่ 4 ต.ท้ายบ้าน อ.เมืองสมุทรปราการ จ.สมุทรปราการ</t>
        </is>
      </c>
      <c r="D2" s="11" t="inlineStr">
        <is>
          <t>064-2461758</t>
        </is>
      </c>
      <c r="E2" s="11" t="n">
        <v>5500</v>
      </c>
      <c r="F2" s="11" t="n">
        <v>0</v>
      </c>
      <c r="G2" s="11" t="n">
        <v>0</v>
      </c>
      <c r="H2" s="11" t="n">
        <v>0</v>
      </c>
      <c r="I2" s="11" t="n">
        <v>8</v>
      </c>
      <c r="J2" s="11" t="n">
        <v>20</v>
      </c>
      <c r="K2" s="12" t="inlineStr">
        <is>
          <t>201/0001-2569</t>
        </is>
      </c>
      <c r="L2" s="12" t="inlineStr">
        <is>
          <t>2026-05-15 00:00:00</t>
        </is>
      </c>
      <c r="M2" s="12" t="inlineStr">
        <is>
          <t>ย้ายเข้า 15 พ.ค.69</t>
        </is>
      </c>
      <c r="N2" s="11" t="n">
        <v>100</v>
      </c>
    </row>
    <row r="3">
      <c r="A3" s="11" t="n">
        <v>202</v>
      </c>
      <c r="B3" s="12" t="inlineStr"/>
      <c r="C3" s="12" t="inlineStr"/>
      <c r="D3" s="11" t="inlineStr"/>
      <c r="E3" s="11" t="n">
        <v>0</v>
      </c>
      <c r="F3" s="11" t="n">
        <v>0</v>
      </c>
      <c r="G3" s="11" t="n">
        <v>0</v>
      </c>
      <c r="H3" s="11" t="n">
        <v>0</v>
      </c>
      <c r="I3" s="11" t="n">
        <v>8</v>
      </c>
      <c r="J3" s="11" t="n">
        <v>20</v>
      </c>
      <c r="K3" s="12" t="inlineStr">
        <is>
          <t>201/0001-2565</t>
        </is>
      </c>
      <c r="L3" s="12" t="inlineStr"/>
      <c r="M3" s="12" t="inlineStr"/>
      <c r="N3" s="11" t="n">
        <v>100</v>
      </c>
    </row>
    <row r="4">
      <c r="A4" s="11" t="n">
        <v>203</v>
      </c>
      <c r="B4" s="12" t="inlineStr">
        <is>
          <t>นางสาวปัทมา กงกะเรียน</t>
        </is>
      </c>
      <c r="C4" s="12" t="inlineStr">
        <is>
          <t>179 ม.1 ต.ผาสามยอด อ.เอราวัณ จ.เลย</t>
        </is>
      </c>
      <c r="D4" s="11" t="inlineStr">
        <is>
          <t>080-754-4074</t>
        </is>
      </c>
      <c r="E4" s="11" t="n">
        <v>4500</v>
      </c>
      <c r="F4" s="11" t="n">
        <v>0</v>
      </c>
      <c r="G4" s="11" t="n">
        <v>0</v>
      </c>
      <c r="H4" s="11" t="n">
        <v>0</v>
      </c>
      <c r="I4" s="11" t="n">
        <v>8</v>
      </c>
      <c r="J4" s="11" t="n">
        <v>20</v>
      </c>
      <c r="K4" s="12" t="inlineStr">
        <is>
          <t>203/0004-2564</t>
        </is>
      </c>
      <c r="L4" s="12" t="inlineStr">
        <is>
          <t>2021-03-28 00:00:00</t>
        </is>
      </c>
      <c r="M4" s="12" t="inlineStr"/>
      <c r="N4" s="11" t="n">
        <v>100</v>
      </c>
    </row>
    <row r="5">
      <c r="A5" s="11" t="n">
        <v>204</v>
      </c>
      <c r="B5" s="12" t="inlineStr">
        <is>
          <t>นายธนัท ศรีทอง</t>
        </is>
      </c>
      <c r="C5" s="12" t="inlineStr">
        <is>
          <t>389/152 ม.6 ต.แพรกษา อ.เมือง จ.สมุทรปราการ</t>
        </is>
      </c>
      <c r="D5" s="11" t="inlineStr">
        <is>
          <t>089-4971424</t>
        </is>
      </c>
      <c r="E5" s="11" t="n">
        <v>4500</v>
      </c>
      <c r="F5" s="11" t="n">
        <v>0</v>
      </c>
      <c r="G5" s="11" t="n">
        <v>0</v>
      </c>
      <c r="H5" s="11" t="n">
        <v>0</v>
      </c>
      <c r="I5" s="11" t="n">
        <v>8</v>
      </c>
      <c r="J5" s="11" t="n">
        <v>20</v>
      </c>
      <c r="K5" s="12" t="inlineStr">
        <is>
          <t>204/0004-2565</t>
        </is>
      </c>
      <c r="L5" s="12" t="inlineStr">
        <is>
          <t>2022-10-01 00:00:00</t>
        </is>
      </c>
      <c r="M5" s="12" t="inlineStr"/>
      <c r="N5" s="11" t="n">
        <v>100</v>
      </c>
    </row>
    <row r="6">
      <c r="A6" s="11" t="n">
        <v>205</v>
      </c>
      <c r="B6" s="12" t="inlineStr"/>
      <c r="C6" s="12" t="inlineStr"/>
      <c r="D6" s="11" t="inlineStr"/>
      <c r="E6" s="11" t="n">
        <v>0</v>
      </c>
      <c r="F6" s="11" t="n">
        <v>0</v>
      </c>
      <c r="G6" s="11" t="n">
        <v>0</v>
      </c>
      <c r="H6" s="11" t="n">
        <v>0</v>
      </c>
      <c r="I6" s="11" t="n">
        <v>8</v>
      </c>
      <c r="J6" s="11" t="n">
        <v>20</v>
      </c>
      <c r="K6" s="12" t="inlineStr">
        <is>
          <t>205/0001-2569</t>
        </is>
      </c>
      <c r="L6" s="12" t="inlineStr"/>
      <c r="M6" s="12" t="inlineStr">
        <is>
          <t>ย้ายออก 1 พ.ค.69</t>
        </is>
      </c>
      <c r="N6" s="11" t="n">
        <v>100</v>
      </c>
    </row>
    <row r="7">
      <c r="A7" s="11" t="n">
        <v>206</v>
      </c>
      <c r="B7" s="12" t="inlineStr">
        <is>
          <t>นางสาวรตนกร ปะนะพุตโต</t>
        </is>
      </c>
      <c r="C7" s="12" t="inlineStr">
        <is>
          <t>2 ม.6 ต.ดงบัง อ.นาดูน จ.มหาสารคาม</t>
        </is>
      </c>
      <c r="D7" s="11" t="inlineStr">
        <is>
          <t>094-9842789</t>
        </is>
      </c>
      <c r="E7" s="11" t="n">
        <v>5500</v>
      </c>
      <c r="F7" s="11" t="n">
        <v>0</v>
      </c>
      <c r="G7" s="11" t="n">
        <v>0</v>
      </c>
      <c r="H7" s="11" t="n">
        <v>0</v>
      </c>
      <c r="I7" s="11" t="n">
        <v>8</v>
      </c>
      <c r="J7" s="11" t="n">
        <v>20</v>
      </c>
      <c r="K7" s="12" t="inlineStr">
        <is>
          <t>206/0003-2568</t>
        </is>
      </c>
      <c r="L7" s="12" t="inlineStr">
        <is>
          <t>2025-03-01 00:00:00</t>
        </is>
      </c>
      <c r="M7" s="12" t="inlineStr"/>
      <c r="N7" s="11" t="n">
        <v>100</v>
      </c>
    </row>
    <row r="8">
      <c r="A8" s="11" t="n">
        <v>207</v>
      </c>
      <c r="B8" s="12" t="inlineStr">
        <is>
          <t>นายภาสกรณ์ ประทุมพล</t>
        </is>
      </c>
      <c r="C8" s="12" t="inlineStr">
        <is>
          <t>191 ม.6 ต.เมือง อ.เมือง จ.ขอนแก่น</t>
        </is>
      </c>
      <c r="D8" s="11" t="inlineStr">
        <is>
          <t>091-0612524</t>
        </is>
      </c>
      <c r="E8" s="11" t="n">
        <v>4500</v>
      </c>
      <c r="F8" s="11" t="n">
        <v>0</v>
      </c>
      <c r="G8" s="11" t="n">
        <v>0</v>
      </c>
      <c r="H8" s="11" t="n">
        <v>0</v>
      </c>
      <c r="I8" s="11" t="n">
        <v>8</v>
      </c>
      <c r="J8" s="11" t="n">
        <v>20</v>
      </c>
      <c r="K8" s="12" t="inlineStr">
        <is>
          <t>207/0005-2565</t>
        </is>
      </c>
      <c r="L8" s="12" t="inlineStr">
        <is>
          <t>2022-07-29 00:00:00</t>
        </is>
      </c>
      <c r="M8" s="12" t="inlineStr"/>
      <c r="N8" s="11" t="n">
        <v>100</v>
      </c>
    </row>
    <row r="9">
      <c r="A9" s="11" t="n">
        <v>208</v>
      </c>
      <c r="B9" s="12" t="inlineStr">
        <is>
          <t>shu jie</t>
        </is>
      </c>
      <c r="C9" s="12" t="inlineStr"/>
      <c r="D9" s="11" t="inlineStr"/>
      <c r="E9" s="11" t="n">
        <v>4900</v>
      </c>
      <c r="F9" s="11" t="n">
        <v>0</v>
      </c>
      <c r="G9" s="11" t="n">
        <v>0</v>
      </c>
      <c r="H9" s="11" t="n">
        <v>0</v>
      </c>
      <c r="I9" s="11" t="n">
        <v>8</v>
      </c>
      <c r="J9" s="11" t="n">
        <v>20</v>
      </c>
      <c r="K9" s="12" t="inlineStr">
        <is>
          <t>208/0001-2568</t>
        </is>
      </c>
      <c r="L9" s="12" t="inlineStr">
        <is>
          <t>2025-12-07 00:00:00</t>
        </is>
      </c>
      <c r="M9" s="12" t="inlineStr"/>
      <c r="N9" s="11" t="n">
        <v>100</v>
      </c>
    </row>
    <row r="10">
      <c r="A10" s="11" t="n">
        <v>209</v>
      </c>
      <c r="B10" s="12" t="inlineStr">
        <is>
          <t>นางสาวพัชราภรณ์ ช่วยเกลี้ยง</t>
        </is>
      </c>
      <c r="C10" s="12" t="inlineStr">
        <is>
          <t>30/4 ม.1 ต.บ้าหวี อ.หาดสำราญ จ.ตรัง</t>
        </is>
      </c>
      <c r="D10" s="11" t="inlineStr">
        <is>
          <t>092-9162955</t>
        </is>
      </c>
      <c r="E10" s="11" t="n">
        <v>4500</v>
      </c>
      <c r="F10" s="11" t="n">
        <v>0</v>
      </c>
      <c r="G10" s="11" t="n">
        <v>0</v>
      </c>
      <c r="H10" s="11" t="n">
        <v>0</v>
      </c>
      <c r="I10" s="11" t="n">
        <v>8</v>
      </c>
      <c r="J10" s="11" t="n">
        <v>20</v>
      </c>
      <c r="K10" s="12" t="inlineStr">
        <is>
          <t>209/0005-2566</t>
        </is>
      </c>
      <c r="L10" s="12" t="inlineStr">
        <is>
          <t>2023-07-02 00:00:00</t>
        </is>
      </c>
      <c r="M10" s="12" t="inlineStr"/>
      <c r="N10" s="11" t="n">
        <v>100</v>
      </c>
    </row>
    <row r="11">
      <c r="A11" s="11" t="n">
        <v>210</v>
      </c>
      <c r="B11" s="12" t="inlineStr">
        <is>
          <t>นางสาวเมธาวี ศรีสุวรรณหงษ์</t>
        </is>
      </c>
      <c r="C11" s="12" t="inlineStr">
        <is>
          <t>41/1 หมู่ที่ 1 ต.เทพมงคล อ.บางซ้าย จ.พระนครศรีอยุธยา</t>
        </is>
      </c>
      <c r="D11" s="11" t="inlineStr">
        <is>
          <t>095-5940915</t>
        </is>
      </c>
      <c r="E11" s="11" t="n">
        <v>5500</v>
      </c>
      <c r="F11" s="11" t="n">
        <v>0</v>
      </c>
      <c r="G11" s="11" t="n">
        <v>0</v>
      </c>
      <c r="H11" s="11" t="n">
        <v>0</v>
      </c>
      <c r="I11" s="11" t="n">
        <v>8</v>
      </c>
      <c r="J11" s="11" t="n">
        <v>20</v>
      </c>
      <c r="K11" s="12" t="inlineStr">
        <is>
          <t>210/0001-2568</t>
        </is>
      </c>
      <c r="L11" s="12" t="inlineStr">
        <is>
          <t>2025-11-16 00:00:00</t>
        </is>
      </c>
      <c r="M11" s="12" t="inlineStr"/>
      <c r="N11" s="11" t="n">
        <v>100</v>
      </c>
    </row>
    <row r="12">
      <c r="A12" s="11" t="n">
        <v>211</v>
      </c>
      <c r="B12" s="12" t="inlineStr">
        <is>
          <t>นายทวีรัฐ ทองแว่น</t>
        </is>
      </c>
      <c r="C12" s="12" t="inlineStr">
        <is>
          <t>203 หมู่ที่ 2 ต.ธงชัย อ.เมืองเพชรบุรี จ.เพชรบุรี</t>
        </is>
      </c>
      <c r="D12" s="11" t="inlineStr">
        <is>
          <t>063-9264461</t>
        </is>
      </c>
      <c r="E12" s="11" t="n">
        <v>5500</v>
      </c>
      <c r="F12" s="11" t="n">
        <v>0</v>
      </c>
      <c r="G12" s="11" t="n">
        <v>0</v>
      </c>
      <c r="H12" s="11" t="n">
        <v>0</v>
      </c>
      <c r="I12" s="11" t="n">
        <v>8</v>
      </c>
      <c r="J12" s="11" t="n">
        <v>20</v>
      </c>
      <c r="K12" s="12" t="inlineStr">
        <is>
          <t>211/0001-2569</t>
        </is>
      </c>
      <c r="L12" s="12" t="inlineStr">
        <is>
          <t>2026-05-01 00:00:00</t>
        </is>
      </c>
      <c r="M12" s="12" t="inlineStr">
        <is>
          <t>ย้ายเข้า 1 พ.ค.69</t>
        </is>
      </c>
      <c r="N12" s="11" t="n">
        <v>100</v>
      </c>
    </row>
    <row r="13">
      <c r="A13" s="11" t="n">
        <v>212</v>
      </c>
      <c r="B13" s="12" t="inlineStr">
        <is>
          <t>นายศุภาเดช ฉัตระเนตร</t>
        </is>
      </c>
      <c r="C13" s="12" t="inlineStr">
        <is>
          <t>447/27 ถ.พลับพลาไชย แขวงป้อมปราบ เขตป้อมปราบศัตรูพ่าย กทม.</t>
        </is>
      </c>
      <c r="D13" s="11" t="inlineStr">
        <is>
          <t>087-0835723</t>
        </is>
      </c>
      <c r="E13" s="11" t="n">
        <v>4900</v>
      </c>
      <c r="F13" s="11" t="n">
        <v>0</v>
      </c>
      <c r="G13" s="11" t="n">
        <v>0</v>
      </c>
      <c r="H13" s="11" t="n">
        <v>0</v>
      </c>
      <c r="I13" s="11" t="n">
        <v>8</v>
      </c>
      <c r="J13" s="11" t="n">
        <v>20</v>
      </c>
      <c r="K13" s="12" t="inlineStr">
        <is>
          <t>212/0005-2567</t>
        </is>
      </c>
      <c r="L13" s="12" t="inlineStr">
        <is>
          <t>2026-04-25 00:00:00</t>
        </is>
      </c>
      <c r="M13" s="12" t="inlineStr"/>
      <c r="N13" s="11" t="n">
        <v>100</v>
      </c>
    </row>
    <row r="14">
      <c r="A14" s="11" t="n">
        <v>213</v>
      </c>
      <c r="B14" s="12" t="inlineStr">
        <is>
          <t>นางสาวธัญภรณ์ ขวัญสกุล</t>
        </is>
      </c>
      <c r="C14" s="12" t="inlineStr">
        <is>
          <t>552 ซ.พหลโยธิน87 ซอย 6 แยก 3 ต.ประชาธิปัตย์ อ.ธัญบุรี จ.ปทุมธานี</t>
        </is>
      </c>
      <c r="D14" s="11" t="inlineStr">
        <is>
          <t>064-1610459</t>
        </is>
      </c>
      <c r="E14" s="11" t="n">
        <v>5500</v>
      </c>
      <c r="F14" s="11" t="n">
        <v>0</v>
      </c>
      <c r="G14" s="11" t="n">
        <v>0</v>
      </c>
      <c r="H14" s="11" t="n">
        <v>0</v>
      </c>
      <c r="I14" s="11" t="n">
        <v>8</v>
      </c>
      <c r="J14" s="11" t="n">
        <v>20</v>
      </c>
      <c r="K14" s="12" t="inlineStr">
        <is>
          <t>213/0001-2569</t>
        </is>
      </c>
      <c r="L14" s="12" t="inlineStr">
        <is>
          <t>2026-03-28 00:00:00</t>
        </is>
      </c>
      <c r="M14" s="12" t="inlineStr"/>
      <c r="N14" s="11" t="n">
        <v>100</v>
      </c>
    </row>
    <row r="15">
      <c r="A15" s="11" t="n">
        <v>214</v>
      </c>
      <c r="B15" s="12" t="inlineStr">
        <is>
          <t>นายธนพนธ์ อ้วนสุชาติ</t>
        </is>
      </c>
      <c r="C15" s="12" t="inlineStr">
        <is>
          <t>63 ม.5 ต.หนองระเวียง อ.พิมาย จ.นครราชสีมา</t>
        </is>
      </c>
      <c r="D15" s="11" t="inlineStr">
        <is>
          <t>085-8577164</t>
        </is>
      </c>
      <c r="E15" s="11" t="n">
        <v>5000</v>
      </c>
      <c r="F15" s="11" t="n">
        <v>0</v>
      </c>
      <c r="G15" s="11" t="n">
        <v>0</v>
      </c>
      <c r="H15" s="11" t="n">
        <v>0</v>
      </c>
      <c r="I15" s="11" t="n">
        <v>8</v>
      </c>
      <c r="J15" s="11" t="n">
        <v>20</v>
      </c>
      <c r="K15" s="12" t="inlineStr">
        <is>
          <t>214/0004-2567</t>
        </is>
      </c>
      <c r="L15" s="12" t="inlineStr">
        <is>
          <t>2024-12-09 00:00:00</t>
        </is>
      </c>
      <c r="M15" s="12" t="inlineStr"/>
      <c r="N15" s="11" t="n">
        <v>100</v>
      </c>
    </row>
    <row r="16">
      <c r="A16" s="11" t="n">
        <v>215</v>
      </c>
      <c r="B16" s="12" t="inlineStr">
        <is>
          <t>นางสาวณัฐวดี หอมเนียม</t>
        </is>
      </c>
      <c r="C16" s="12" t="inlineStr">
        <is>
          <t>4 ม.1 ต.เฉนียง อ.เมือง จ.สุรินทร์</t>
        </is>
      </c>
      <c r="D16" s="11" t="inlineStr">
        <is>
          <t>064-1635591</t>
        </is>
      </c>
      <c r="E16" s="11" t="n">
        <v>5000</v>
      </c>
      <c r="F16" s="11" t="n">
        <v>0</v>
      </c>
      <c r="G16" s="11" t="n">
        <v>0</v>
      </c>
      <c r="H16" s="11" t="n">
        <v>0</v>
      </c>
      <c r="I16" s="11" t="n">
        <v>8</v>
      </c>
      <c r="J16" s="11" t="n">
        <v>20</v>
      </c>
      <c r="K16" s="12" t="inlineStr">
        <is>
          <t>215/0003-2568</t>
        </is>
      </c>
      <c r="L16" s="12" t="inlineStr">
        <is>
          <t>2025-05-06 00:00:00</t>
        </is>
      </c>
      <c r="M16" s="12" t="inlineStr"/>
      <c r="N16" s="11" t="n">
        <v>100</v>
      </c>
    </row>
    <row r="17">
      <c r="A17" s="11" t="n">
        <v>216</v>
      </c>
      <c r="B17" s="12" t="inlineStr">
        <is>
          <t>นายภูวรา อัคระนรากูล</t>
        </is>
      </c>
      <c r="C17" s="12" t="inlineStr">
        <is>
          <t>30 ต.บางแคเหนือ อ.บางแค จ.กทม.</t>
        </is>
      </c>
      <c r="D17" s="11" t="inlineStr">
        <is>
          <t>063-665-5465</t>
        </is>
      </c>
      <c r="E17" s="11" t="n">
        <v>4500</v>
      </c>
      <c r="F17" s="11" t="n">
        <v>0</v>
      </c>
      <c r="G17" s="11" t="n">
        <v>0</v>
      </c>
      <c r="H17" s="11" t="n">
        <v>0</v>
      </c>
      <c r="I17" s="11" t="n">
        <v>8</v>
      </c>
      <c r="J17" s="11" t="n">
        <v>20</v>
      </c>
      <c r="K17" s="12" t="inlineStr">
        <is>
          <t>216/0003-2564</t>
        </is>
      </c>
      <c r="L17" s="12" t="inlineStr">
        <is>
          <t>2021-03-04 00:00:00</t>
        </is>
      </c>
      <c r="M17" s="12" t="inlineStr"/>
      <c r="N17" s="11" t="n">
        <v>100</v>
      </c>
    </row>
    <row r="18">
      <c r="A18" s="11" t="n">
        <v>217</v>
      </c>
      <c r="B18" s="12" t="inlineStr">
        <is>
          <t>นายธนศักดิ์ ฤกษ์รัตนเศรษฐ์</t>
        </is>
      </c>
      <c r="C18" s="12" t="inlineStr">
        <is>
          <t>โรงงานเทพศักดาอิฐประสาน 144 หมู่ 2 ต.เชื้อเพลง อ.ปราสาท จ.สุรินทร์</t>
        </is>
      </c>
      <c r="D18" s="11" t="inlineStr">
        <is>
          <t>094-3735152</t>
        </is>
      </c>
      <c r="E18" s="11" t="n">
        <v>4500</v>
      </c>
      <c r="F18" s="11" t="n">
        <v>0</v>
      </c>
      <c r="G18" s="11" t="n">
        <v>250</v>
      </c>
      <c r="H18" s="11" t="n">
        <v>50</v>
      </c>
      <c r="I18" s="11" t="n">
        <v>5</v>
      </c>
      <c r="J18" s="11" t="n">
        <v>15</v>
      </c>
      <c r="K18" s="12" t="inlineStr">
        <is>
          <t>217/0002-2560</t>
        </is>
      </c>
      <c r="L18" s="12" t="inlineStr">
        <is>
          <t>2017-09-01 00:00:00</t>
        </is>
      </c>
      <c r="M18" s="12" t="inlineStr"/>
      <c r="N18" s="11" t="n">
        <v>0</v>
      </c>
    </row>
    <row r="19">
      <c r="A19" s="11" t="n">
        <v>218</v>
      </c>
      <c r="B19" s="12" t="inlineStr">
        <is>
          <t>นางสาวพรรณปพร นันทอินทร์</t>
        </is>
      </c>
      <c r="C19" s="12" t="inlineStr">
        <is>
          <t>268 ถ.ป่าทม ต.หัวเวียง อ.เมือง จ.ลำปาง</t>
        </is>
      </c>
      <c r="D19" s="11" t="inlineStr">
        <is>
          <t>065-9498831</t>
        </is>
      </c>
      <c r="E19" s="11" t="n">
        <v>5500</v>
      </c>
      <c r="F19" s="11" t="n">
        <v>0</v>
      </c>
      <c r="G19" s="11" t="n">
        <v>0</v>
      </c>
      <c r="H19" s="11" t="n">
        <v>0</v>
      </c>
      <c r="I19" s="11" t="n">
        <v>8</v>
      </c>
      <c r="J19" s="11" t="n">
        <v>20</v>
      </c>
      <c r="K19" s="12" t="inlineStr">
        <is>
          <t>201/0004-2566</t>
        </is>
      </c>
      <c r="L19" s="12" t="inlineStr">
        <is>
          <t>2025-10-26 00:00:00</t>
        </is>
      </c>
      <c r="M19" s="12" t="inlineStr"/>
      <c r="N19" s="11" t="n">
        <v>100</v>
      </c>
    </row>
    <row r="20">
      <c r="A20" s="11" t="n">
        <v>301</v>
      </c>
      <c r="B20" s="12" t="inlineStr">
        <is>
          <t>นางสาวประภาพร แก่นภูเลิศ</t>
        </is>
      </c>
      <c r="C20" s="12" t="inlineStr">
        <is>
          <t>128 หมู่ที่ 16 ต.แสนสุข อ.วาริณชำราบ จ.อุบลราชธานี</t>
        </is>
      </c>
      <c r="D20" s="11" t="inlineStr">
        <is>
          <t>065-9550919</t>
        </is>
      </c>
      <c r="E20" s="11" t="n">
        <v>5500</v>
      </c>
      <c r="F20" s="11" t="n">
        <v>0</v>
      </c>
      <c r="G20" s="11" t="n">
        <v>0</v>
      </c>
      <c r="H20" s="11" t="n">
        <v>0</v>
      </c>
      <c r="I20" s="11" t="n">
        <v>8</v>
      </c>
      <c r="J20" s="11" t="n">
        <v>20</v>
      </c>
      <c r="K20" s="12" t="inlineStr">
        <is>
          <t>301/0002-2569</t>
        </is>
      </c>
      <c r="L20" s="12" t="inlineStr">
        <is>
          <t>2026-01-30 00:00:00</t>
        </is>
      </c>
      <c r="M20" s="12" t="inlineStr"/>
      <c r="N20" s="11" t="n">
        <v>100</v>
      </c>
    </row>
    <row r="21">
      <c r="A21" s="11" t="n">
        <v>302</v>
      </c>
      <c r="B21" s="12" t="inlineStr">
        <is>
          <t>นางสาวศิริยาพร เพชรศรี</t>
        </is>
      </c>
      <c r="C21" s="12" t="inlineStr">
        <is>
          <t>9 หมู่ที่ 7 ต.แป-ระ อ.ท่าแพ จ.สตูล</t>
        </is>
      </c>
      <c r="D21" s="11" t="inlineStr">
        <is>
          <t>064-0915256</t>
        </is>
      </c>
      <c r="E21" s="11" t="n">
        <v>5500</v>
      </c>
      <c r="F21" s="11" t="n">
        <v>0</v>
      </c>
      <c r="G21" s="11" t="n">
        <v>0</v>
      </c>
      <c r="H21" s="11" t="n">
        <v>0</v>
      </c>
      <c r="I21" s="11" t="n">
        <v>8</v>
      </c>
      <c r="J21" s="11" t="n">
        <v>20</v>
      </c>
      <c r="K21" s="12" t="inlineStr">
        <is>
          <t>302/0001-2569</t>
        </is>
      </c>
      <c r="L21" s="12" t="inlineStr">
        <is>
          <t>2026-05-01 00:00:00</t>
        </is>
      </c>
      <c r="M21" s="12" t="inlineStr">
        <is>
          <t>เข้า 1 พ.ค.69</t>
        </is>
      </c>
      <c r="N21" s="11" t="n">
        <v>100</v>
      </c>
    </row>
    <row r="22">
      <c r="A22" s="11" t="n">
        <v>303</v>
      </c>
      <c r="B22" s="12" t="inlineStr">
        <is>
          <t>นางสาวรตินันท์ เพชรศรีช่วง</t>
        </is>
      </c>
      <c r="C22" s="12" t="inlineStr">
        <is>
          <t>543 ถ.สมเด็จเจ้าพระยา แขวงคลองสาน เขตคลองสาน กทม</t>
        </is>
      </c>
      <c r="D22" s="11" t="inlineStr">
        <is>
          <t>064-202-2525</t>
        </is>
      </c>
      <c r="E22" s="11" t="n">
        <v>4900</v>
      </c>
      <c r="F22" s="11" t="n">
        <v>0</v>
      </c>
      <c r="G22" s="11" t="n">
        <v>250</v>
      </c>
      <c r="H22" s="11" t="n">
        <v>50</v>
      </c>
      <c r="I22" s="11" t="n">
        <v>5</v>
      </c>
      <c r="J22" s="11" t="n">
        <v>15</v>
      </c>
      <c r="K22" s="12" t="inlineStr">
        <is>
          <t>303/0001-2560</t>
        </is>
      </c>
      <c r="L22" s="12" t="inlineStr">
        <is>
          <t>2024-12-01 00:00:00</t>
        </is>
      </c>
      <c r="M22" s="12" t="inlineStr"/>
      <c r="N22" s="11" t="n">
        <v>0</v>
      </c>
    </row>
    <row r="23">
      <c r="A23" s="11" t="n">
        <v>304</v>
      </c>
      <c r="B23" s="12" t="inlineStr">
        <is>
          <t>นางสาวปัทมพร ทูลธรรม</t>
        </is>
      </c>
      <c r="C23" s="12" t="inlineStr">
        <is>
          <t>161 หมู่ที่ 1 ต.ปางกู่ อ.โนนสัง จ.หนองบัวลำภู</t>
        </is>
      </c>
      <c r="D23" s="11" t="inlineStr">
        <is>
          <t>098-1432642</t>
        </is>
      </c>
      <c r="E23" s="11" t="n">
        <v>5500</v>
      </c>
      <c r="F23" s="11" t="n">
        <v>0</v>
      </c>
      <c r="G23" s="11" t="n">
        <v>0</v>
      </c>
      <c r="H23" s="11" t="n">
        <v>0</v>
      </c>
      <c r="I23" s="11" t="n">
        <v>8</v>
      </c>
      <c r="J23" s="11" t="n">
        <v>20</v>
      </c>
      <c r="K23" s="12" t="inlineStr">
        <is>
          <t>304/0002-2569</t>
        </is>
      </c>
      <c r="L23" s="12" t="inlineStr">
        <is>
          <t>2026-01-16 00:00:00</t>
        </is>
      </c>
      <c r="M23" s="12" t="inlineStr"/>
      <c r="N23" s="11" t="n">
        <v>100</v>
      </c>
    </row>
    <row r="24">
      <c r="A24" s="11" t="n">
        <v>305</v>
      </c>
      <c r="B24" s="12" t="inlineStr">
        <is>
          <t>นางสาวบัณฑิตา จันทร์พรหม</t>
        </is>
      </c>
      <c r="C24" s="12" t="inlineStr">
        <is>
          <t>20 ม.6 ต.กระเฉด อ.เมือง จ.ระยอง</t>
        </is>
      </c>
      <c r="D24" s="11" t="inlineStr">
        <is>
          <t>095-2695431</t>
        </is>
      </c>
      <c r="E24" s="11" t="n">
        <v>5500</v>
      </c>
      <c r="F24" s="11" t="n">
        <v>0</v>
      </c>
      <c r="G24" s="11" t="n">
        <v>0</v>
      </c>
      <c r="H24" s="11" t="n">
        <v>0</v>
      </c>
      <c r="I24" s="11" t="n">
        <v>8</v>
      </c>
      <c r="J24" s="11" t="n">
        <v>20</v>
      </c>
      <c r="K24" s="12" t="inlineStr">
        <is>
          <t>305/0007-2568</t>
        </is>
      </c>
      <c r="L24" s="12" t="inlineStr">
        <is>
          <t>2025-05-30 00:00:00</t>
        </is>
      </c>
      <c r="M24" s="12" t="inlineStr"/>
      <c r="N24" s="11" t="n">
        <v>100</v>
      </c>
    </row>
    <row r="25">
      <c r="A25" s="11" t="n">
        <v>306</v>
      </c>
      <c r="B25" s="12" t="inlineStr">
        <is>
          <t>นางสาวภูษิตา หล่อลีฬหา</t>
        </is>
      </c>
      <c r="C25" s="12" t="inlineStr">
        <is>
          <t>19 ตรอกสุขมาศ ต.ในเมือง อ.เมืองนครราชศรีมา จ.นครราชศรีมา</t>
        </is>
      </c>
      <c r="D25" s="11" t="inlineStr">
        <is>
          <t>063-0566162</t>
        </is>
      </c>
      <c r="E25" s="11" t="n">
        <v>5500</v>
      </c>
      <c r="F25" s="11" t="n">
        <v>0</v>
      </c>
      <c r="G25" s="11" t="n">
        <v>0</v>
      </c>
      <c r="H25" s="11" t="n">
        <v>0</v>
      </c>
      <c r="I25" s="11" t="n">
        <v>8</v>
      </c>
      <c r="J25" s="11" t="n">
        <v>20</v>
      </c>
      <c r="K25" s="12" t="inlineStr">
        <is>
          <t>306/0001-2569</t>
        </is>
      </c>
      <c r="L25" s="12" t="inlineStr">
        <is>
          <t>2026-05-04 00:00:00</t>
        </is>
      </c>
      <c r="M25" s="12" t="inlineStr">
        <is>
          <t>เข้า 4 พ.ค.69</t>
        </is>
      </c>
      <c r="N25" s="11" t="n">
        <v>100</v>
      </c>
    </row>
    <row r="26">
      <c r="A26" s="11" t="n">
        <v>307</v>
      </c>
      <c r="B26" s="12" t="inlineStr">
        <is>
          <t>นางสาวพัชรี พุทธรุฯณ</t>
        </is>
      </c>
      <c r="C26" s="12" t="inlineStr">
        <is>
          <t>159 ม.8 ต.เวียง อ. เชียงคำ จ.พะเยา</t>
        </is>
      </c>
      <c r="D26" s="11" t="inlineStr">
        <is>
          <t>061-5735125</t>
        </is>
      </c>
      <c r="E26" s="11" t="n">
        <v>5500</v>
      </c>
      <c r="F26" s="11" t="n">
        <v>0</v>
      </c>
      <c r="G26" s="11" t="n">
        <v>0</v>
      </c>
      <c r="H26" s="11" t="n">
        <v>0</v>
      </c>
      <c r="I26" s="11" t="n">
        <v>8</v>
      </c>
      <c r="J26" s="11" t="n">
        <v>20</v>
      </c>
      <c r="K26" s="12" t="inlineStr">
        <is>
          <t>307/0004-2568</t>
        </is>
      </c>
      <c r="L26" s="12" t="inlineStr">
        <is>
          <t>2025-08-10 00:00:00</t>
        </is>
      </c>
      <c r="M26" s="12" t="inlineStr"/>
      <c r="N26" s="11" t="n">
        <v>100</v>
      </c>
    </row>
    <row r="27">
      <c r="A27" s="11" t="n">
        <v>308</v>
      </c>
      <c r="B27" s="12" t="inlineStr">
        <is>
          <t>นางสาววีรวรรณ สังข์ทอง</t>
        </is>
      </c>
      <c r="C27" s="12" t="inlineStr">
        <is>
          <t>117 ม.  5 ต.น้ำจืดน้อย อ.กระบุรี จ.ระนอง</t>
        </is>
      </c>
      <c r="D27" s="11" t="inlineStr">
        <is>
          <t>084-4122517</t>
        </is>
      </c>
      <c r="E27" s="11" t="n">
        <v>815</v>
      </c>
      <c r="F27" s="11" t="n">
        <v>0</v>
      </c>
      <c r="G27" s="11" t="n">
        <v>0</v>
      </c>
      <c r="H27" s="11" t="n">
        <v>0</v>
      </c>
      <c r="I27" s="11" t="n">
        <v>8</v>
      </c>
      <c r="J27" s="11" t="n">
        <v>20</v>
      </c>
      <c r="K27" s="12" t="inlineStr">
        <is>
          <t>308/0005-2565</t>
        </is>
      </c>
      <c r="L27" s="12" t="inlineStr">
        <is>
          <t>2024-12-23 00:00:00</t>
        </is>
      </c>
      <c r="M27" s="12" t="inlineStr"/>
      <c r="N27" s="11" t="n">
        <v>100</v>
      </c>
    </row>
    <row r="28">
      <c r="A28" s="11" t="n">
        <v>309</v>
      </c>
      <c r="B28" s="12" t="inlineStr">
        <is>
          <t>นางสาวนวรัตน์ ศรีสงคราม</t>
        </is>
      </c>
      <c r="C28" s="12" t="inlineStr">
        <is>
          <t>90 หมู่ที่ 1 ต.แก้งกอก อ.ศรีเมืองใหม่ จ.อุบลราชธานี</t>
        </is>
      </c>
      <c r="D28" s="11" t="inlineStr">
        <is>
          <t>064-9148892</t>
        </is>
      </c>
      <c r="E28" s="11" t="n">
        <v>5500</v>
      </c>
      <c r="F28" s="11" t="n">
        <v>0</v>
      </c>
      <c r="G28" s="11" t="n">
        <v>0</v>
      </c>
      <c r="H28" s="11" t="n">
        <v>0</v>
      </c>
      <c r="I28" s="11" t="n">
        <v>8</v>
      </c>
      <c r="J28" s="11" t="n">
        <v>20</v>
      </c>
      <c r="K28" s="12" t="inlineStr">
        <is>
          <t>309/004-2562</t>
        </is>
      </c>
      <c r="L28" s="12" t="inlineStr">
        <is>
          <t>2025-09-29 00:00:00</t>
        </is>
      </c>
      <c r="M28" s="12" t="inlineStr"/>
      <c r="N28" s="11" t="n">
        <v>100</v>
      </c>
    </row>
    <row r="29">
      <c r="A29" s="11" t="n">
        <v>310</v>
      </c>
      <c r="B29" s="12" t="inlineStr">
        <is>
          <t>นางสาวปวีณ์ธิดา ต้นจันทน์</t>
        </is>
      </c>
      <c r="C29" s="12" t="inlineStr">
        <is>
          <t>208 ต.บางกระสอ อ.มือง จ.นนทบุรี</t>
        </is>
      </c>
      <c r="D29" s="11" t="inlineStr">
        <is>
          <t>095-5086058</t>
        </is>
      </c>
      <c r="E29" s="11" t="n">
        <v>5500</v>
      </c>
      <c r="F29" s="11" t="n">
        <v>0</v>
      </c>
      <c r="G29" s="11" t="n">
        <v>0</v>
      </c>
      <c r="H29" s="11" t="n">
        <v>0</v>
      </c>
      <c r="I29" s="11" t="n">
        <v>8</v>
      </c>
      <c r="J29" s="11" t="n">
        <v>20</v>
      </c>
      <c r="K29" s="12" t="inlineStr">
        <is>
          <t>302/0006-2568</t>
        </is>
      </c>
      <c r="L29" s="12" t="inlineStr">
        <is>
          <t>2025-06-28 00:00:00</t>
        </is>
      </c>
      <c r="M29" s="12" t="inlineStr"/>
      <c r="N29" s="11" t="n">
        <v>100</v>
      </c>
    </row>
    <row r="30">
      <c r="A30" s="11" t="n">
        <v>311</v>
      </c>
      <c r="B30" s="12" t="inlineStr">
        <is>
          <t>นางสาวปนิตา เครือศิริ</t>
        </is>
      </c>
      <c r="C30" s="12" t="inlineStr">
        <is>
          <t>237 ม.2 ต.บึงสามพัน อ.บึงสามพัน จเพชรบูรณ์</t>
        </is>
      </c>
      <c r="D30" s="11" t="inlineStr">
        <is>
          <t>648763713</t>
        </is>
      </c>
      <c r="E30" s="11" t="n">
        <v>5500</v>
      </c>
      <c r="F30" s="11" t="n">
        <v>0</v>
      </c>
      <c r="G30" s="11" t="n">
        <v>0</v>
      </c>
      <c r="H30" s="11" t="n">
        <v>0</v>
      </c>
      <c r="I30" s="11" t="n">
        <v>8</v>
      </c>
      <c r="J30" s="11" t="n">
        <v>20</v>
      </c>
      <c r="K30" s="12" t="inlineStr">
        <is>
          <t>311/0007-2568</t>
        </is>
      </c>
      <c r="L30" s="12" t="inlineStr">
        <is>
          <t>2025-03-30 00:00:00</t>
        </is>
      </c>
      <c r="M30" s="12" t="inlineStr">
        <is>
          <t>ค่าเช่าตู้เย็น</t>
        </is>
      </c>
      <c r="N30" s="11" t="n">
        <v>100</v>
      </c>
    </row>
    <row r="31">
      <c r="A31" s="11" t="n">
        <v>312</v>
      </c>
      <c r="B31" s="12" t="inlineStr">
        <is>
          <t>นางสาวปิ่นนภา ยิ่งยงค์</t>
        </is>
      </c>
      <c r="C31" s="12" t="inlineStr">
        <is>
          <t>63 ม.4 ต.โพนยาง อ.วังหิน จ.ศรีสะเกษ</t>
        </is>
      </c>
      <c r="D31" s="11" t="inlineStr">
        <is>
          <t>096-5099164</t>
        </is>
      </c>
      <c r="E31" s="11" t="n">
        <v>5500</v>
      </c>
      <c r="F31" s="11" t="n">
        <v>0</v>
      </c>
      <c r="G31" s="11" t="n">
        <v>0</v>
      </c>
      <c r="H31" s="11" t="n">
        <v>0</v>
      </c>
      <c r="I31" s="11" t="n">
        <v>8</v>
      </c>
      <c r="J31" s="11" t="n">
        <v>20</v>
      </c>
      <c r="K31" s="12" t="inlineStr">
        <is>
          <t>312/0005-2568</t>
        </is>
      </c>
      <c r="L31" s="12" t="inlineStr">
        <is>
          <t>2025-07-30 00:00:00</t>
        </is>
      </c>
      <c r="M31" s="12" t="inlineStr"/>
      <c r="N31" s="11" t="n">
        <v>100</v>
      </c>
    </row>
    <row r="32">
      <c r="A32" s="11" t="n">
        <v>313</v>
      </c>
      <c r="B32" s="12" t="inlineStr"/>
      <c r="C32" s="12" t="inlineStr"/>
      <c r="D32" s="11" t="inlineStr"/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8</v>
      </c>
      <c r="J32" s="11" t="n">
        <v>20</v>
      </c>
      <c r="K32" s="12" t="inlineStr">
        <is>
          <t>313/0003-2568</t>
        </is>
      </c>
      <c r="L32" s="12" t="inlineStr"/>
      <c r="M32" s="12" t="inlineStr">
        <is>
          <t>ออก 10 พ.ค.69</t>
        </is>
      </c>
      <c r="N32" s="11" t="n">
        <v>100</v>
      </c>
    </row>
    <row r="33">
      <c r="A33" s="11" t="n">
        <v>314</v>
      </c>
      <c r="B33" s="12" t="inlineStr">
        <is>
          <t>นางสาวธัญวรัตน์ ฤทธิสาคร</t>
        </is>
      </c>
      <c r="C33" s="12" t="inlineStr">
        <is>
          <t>42/3 หมู่ที่ 4 ต.ควนปริง อ.เมืองตรัง จ.ตรัง</t>
        </is>
      </c>
      <c r="D33" s="11" t="inlineStr">
        <is>
          <t>082-2756970</t>
        </is>
      </c>
      <c r="E33" s="11" t="n">
        <v>5500</v>
      </c>
      <c r="F33" s="11" t="n">
        <v>0</v>
      </c>
      <c r="G33" s="11" t="n">
        <v>0</v>
      </c>
      <c r="H33" s="11" t="n">
        <v>0</v>
      </c>
      <c r="I33" s="11" t="n">
        <v>8</v>
      </c>
      <c r="J33" s="11" t="n">
        <v>20</v>
      </c>
      <c r="K33" s="12" t="inlineStr">
        <is>
          <t>314/0001-2569</t>
        </is>
      </c>
      <c r="L33" s="12" t="inlineStr">
        <is>
          <t>2026-03-30 00:00:00</t>
        </is>
      </c>
      <c r="M33" s="12" t="inlineStr"/>
      <c r="N33" s="11" t="n">
        <v>100</v>
      </c>
    </row>
    <row r="34">
      <c r="A34" s="11" t="n">
        <v>315</v>
      </c>
      <c r="B34" s="12" t="inlineStr">
        <is>
          <t>นางสาวพิชญ์สิตา ศุภศาสตร์วงศ์</t>
        </is>
      </c>
      <c r="C34" s="12" t="inlineStr">
        <is>
          <t>386/3 ต.โนนสูง อ.โนนสูง จ.นครราชสีมา</t>
        </is>
      </c>
      <c r="D34" s="11" t="inlineStr">
        <is>
          <t>095-0309923</t>
        </is>
      </c>
      <c r="E34" s="11" t="n">
        <v>5500</v>
      </c>
      <c r="F34" s="11" t="n">
        <v>0</v>
      </c>
      <c r="G34" s="11" t="n">
        <v>0</v>
      </c>
      <c r="H34" s="11" t="n">
        <v>0</v>
      </c>
      <c r="I34" s="11" t="n">
        <v>8</v>
      </c>
      <c r="J34" s="11" t="n">
        <v>20</v>
      </c>
      <c r="K34" s="12" t="inlineStr">
        <is>
          <t>315/0004-2568</t>
        </is>
      </c>
      <c r="L34" s="12" t="inlineStr">
        <is>
          <t>2025-01-11 00:00:00</t>
        </is>
      </c>
      <c r="M34" s="12" t="inlineStr">
        <is>
          <t>ค่าเช่าตู้เย็นเล็ก</t>
        </is>
      </c>
      <c r="N34" s="11" t="n">
        <v>100</v>
      </c>
    </row>
    <row r="35">
      <c r="A35" s="11" t="n">
        <v>316</v>
      </c>
      <c r="B35" s="12" t="inlineStr">
        <is>
          <t>นางสาวพรรณพัชร วราภรณ์</t>
        </is>
      </c>
      <c r="C35" s="12" t="inlineStr">
        <is>
          <t>15/3 ม.3 ต.ท่าซอม อ.หัวไทร จ.นครศรีธรรมราช</t>
        </is>
      </c>
      <c r="D35" s="11" t="inlineStr">
        <is>
          <t>092-7696515</t>
        </is>
      </c>
      <c r="E35" s="11" t="n">
        <v>4900</v>
      </c>
      <c r="F35" s="11" t="n">
        <v>0</v>
      </c>
      <c r="G35" s="11" t="n">
        <v>0</v>
      </c>
      <c r="H35" s="11" t="n">
        <v>0</v>
      </c>
      <c r="I35" s="11" t="n">
        <v>8</v>
      </c>
      <c r="J35" s="11" t="n">
        <v>20</v>
      </c>
      <c r="K35" s="12" t="inlineStr">
        <is>
          <t>316/0003-2566</t>
        </is>
      </c>
      <c r="L35" s="12" t="inlineStr">
        <is>
          <t>2023-06-22 00:00:00</t>
        </is>
      </c>
      <c r="M35" s="12" t="inlineStr"/>
      <c r="N35" s="11" t="n">
        <v>100</v>
      </c>
    </row>
    <row r="36">
      <c r="A36" s="11" t="n">
        <v>317</v>
      </c>
      <c r="B36" s="12" t="inlineStr"/>
      <c r="C36" s="12" t="inlineStr"/>
      <c r="D36" s="11" t="inlineStr"/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8</v>
      </c>
      <c r="J36" s="11" t="n">
        <v>20</v>
      </c>
      <c r="K36" s="12" t="inlineStr">
        <is>
          <t>317/0002-2568</t>
        </is>
      </c>
      <c r="L36" s="12" t="inlineStr"/>
      <c r="M36" s="12" t="inlineStr"/>
      <c r="N36" s="11" t="n">
        <v>100</v>
      </c>
    </row>
    <row r="37">
      <c r="A37" s="11" t="n">
        <v>318</v>
      </c>
      <c r="B37" s="12" t="inlineStr">
        <is>
          <t>นางสาวโยธิกานต์ ภิญโญ</t>
        </is>
      </c>
      <c r="C37" s="12" t="inlineStr">
        <is>
          <t>53/4 หมู่ที่ 2 ตนาท่ามเหนือ อ.เมืองตรัง จ.ตรัง</t>
        </is>
      </c>
      <c r="D37" s="11" t="inlineStr">
        <is>
          <t>089-6528780</t>
        </is>
      </c>
      <c r="E37" s="11" t="n">
        <v>5500</v>
      </c>
      <c r="F37" s="11" t="n">
        <v>0</v>
      </c>
      <c r="G37" s="11" t="n">
        <v>0</v>
      </c>
      <c r="H37" s="11" t="n">
        <v>0</v>
      </c>
      <c r="I37" s="11" t="n">
        <v>8</v>
      </c>
      <c r="J37" s="11" t="n">
        <v>20</v>
      </c>
      <c r="K37" s="12" t="inlineStr">
        <is>
          <t>318/0001-2569</t>
        </is>
      </c>
      <c r="L37" s="12" t="inlineStr">
        <is>
          <t>2026-03-31 00:00:00</t>
        </is>
      </c>
      <c r="M37" s="12" t="inlineStr"/>
      <c r="N37" s="11" t="n">
        <v>100</v>
      </c>
    </row>
    <row r="38">
      <c r="A38" s="11" t="n">
        <v>401</v>
      </c>
      <c r="B38" s="12" t="inlineStr">
        <is>
          <t>นายณัฐนันท์ อินทัศน์</t>
        </is>
      </c>
      <c r="C38" s="12" t="inlineStr">
        <is>
          <t>987/1 ต.ชะอำ  อ.ชะอำ จ.เพชรบุรี</t>
        </is>
      </c>
      <c r="D38" s="11" t="inlineStr">
        <is>
          <t>094-8059091</t>
        </is>
      </c>
      <c r="E38" s="11" t="n">
        <v>5500</v>
      </c>
      <c r="F38" s="11" t="n">
        <v>0</v>
      </c>
      <c r="G38" s="11" t="n">
        <v>0</v>
      </c>
      <c r="H38" s="11" t="n">
        <v>0</v>
      </c>
      <c r="I38" s="11" t="n">
        <v>8</v>
      </c>
      <c r="J38" s="11" t="n">
        <v>20</v>
      </c>
      <c r="K38" s="12" t="inlineStr">
        <is>
          <t>401/0004-2568</t>
        </is>
      </c>
      <c r="L38" s="12" t="inlineStr">
        <is>
          <t>2025-05-31 00:00:00</t>
        </is>
      </c>
      <c r="M38" s="12" t="inlineStr"/>
      <c r="N38" s="11" t="n">
        <v>100</v>
      </c>
    </row>
    <row r="39">
      <c r="A39" s="11" t="n">
        <v>402</v>
      </c>
      <c r="B39" s="12" t="inlineStr">
        <is>
          <t>shu jie</t>
        </is>
      </c>
      <c r="C39" s="12" t="inlineStr"/>
      <c r="D39" s="11" t="inlineStr">
        <is>
          <t>096-869-4864</t>
        </is>
      </c>
      <c r="E39" s="11" t="n">
        <v>4900</v>
      </c>
      <c r="F39" s="11" t="n">
        <v>0</v>
      </c>
      <c r="G39" s="11" t="n">
        <v>0</v>
      </c>
      <c r="H39" s="11" t="n">
        <v>0</v>
      </c>
      <c r="I39" s="11" t="n">
        <v>8</v>
      </c>
      <c r="J39" s="11" t="n">
        <v>20</v>
      </c>
      <c r="K39" s="12" t="inlineStr">
        <is>
          <t>402/0001-2560</t>
        </is>
      </c>
      <c r="L39" s="12" t="inlineStr">
        <is>
          <t>2017-04-21 00:00:00</t>
        </is>
      </c>
      <c r="M39" s="12" t="inlineStr"/>
      <c r="N39" s="11" t="n">
        <v>100</v>
      </c>
    </row>
    <row r="40">
      <c r="A40" s="11" t="n">
        <v>403</v>
      </c>
      <c r="B40" s="12" t="inlineStr">
        <is>
          <t>นายรัฐธรรมนูญ สังข์ไพฑูรย์</t>
        </is>
      </c>
      <c r="C40" s="12" t="inlineStr">
        <is>
          <t>4 หมู่ที่ 4 ต.ปากแตระ อ.ระโนด จ.สงขลา</t>
        </is>
      </c>
      <c r="D40" s="11" t="inlineStr">
        <is>
          <t>063-5075237</t>
        </is>
      </c>
      <c r="E40" s="11" t="n">
        <v>5500</v>
      </c>
      <c r="F40" s="11" t="n">
        <v>0</v>
      </c>
      <c r="G40" s="11" t="n">
        <v>0</v>
      </c>
      <c r="H40" s="11" t="n">
        <v>0</v>
      </c>
      <c r="I40" s="11" t="n">
        <v>8</v>
      </c>
      <c r="J40" s="11" t="n">
        <v>20</v>
      </c>
      <c r="K40" s="12" t="inlineStr">
        <is>
          <t>403/0006-2568</t>
        </is>
      </c>
      <c r="L40" s="12" t="inlineStr">
        <is>
          <t>2025-12-28 00:00:00</t>
        </is>
      </c>
      <c r="M40" s="12" t="inlineStr"/>
      <c r="N40" s="11" t="n">
        <v>100</v>
      </c>
    </row>
    <row r="41">
      <c r="A41" s="11" t="n">
        <v>404</v>
      </c>
      <c r="B41" s="12" t="inlineStr">
        <is>
          <t>นางสาวเจนจิรา งิมขุนทด</t>
        </is>
      </c>
      <c r="C41" s="12" t="inlineStr">
        <is>
          <t>7 ม. 14 ต.เขาชนกัน อ.แม่วงก์ จ.นครสวรรค์</t>
        </is>
      </c>
      <c r="D41" s="11" t="inlineStr">
        <is>
          <t>096-9894738</t>
        </is>
      </c>
      <c r="E41" s="11" t="n">
        <v>4900</v>
      </c>
      <c r="F41" s="11" t="n">
        <v>0</v>
      </c>
      <c r="G41" s="11" t="n">
        <v>0</v>
      </c>
      <c r="H41" s="11" t="n">
        <v>0</v>
      </c>
      <c r="I41" s="11" t="n">
        <v>8</v>
      </c>
      <c r="J41" s="11" t="n">
        <v>20</v>
      </c>
      <c r="K41" s="12" t="inlineStr">
        <is>
          <t>404/0005-2566</t>
        </is>
      </c>
      <c r="L41" s="12" t="inlineStr">
        <is>
          <t>2023-07-02 00:00:00</t>
        </is>
      </c>
      <c r="M41" s="12" t="inlineStr"/>
      <c r="N41" s="11" t="n">
        <v>100</v>
      </c>
    </row>
    <row r="42">
      <c r="A42" s="11" t="n">
        <v>405</v>
      </c>
      <c r="B42" s="12" t="inlineStr">
        <is>
          <t>นายประกฤษฏิ์ สุทธิเนียม</t>
        </is>
      </c>
      <c r="C42" s="12" t="inlineStr">
        <is>
          <t>36 ม.9 ต.ขุนทะเล อ.เมือง จ.สุราษฎร์ธานี</t>
        </is>
      </c>
      <c r="D42" s="11" t="inlineStr">
        <is>
          <t>082-4154469</t>
        </is>
      </c>
      <c r="E42" s="11" t="n">
        <v>4900</v>
      </c>
      <c r="F42" s="11" t="n">
        <v>0</v>
      </c>
      <c r="G42" s="11" t="n">
        <v>0</v>
      </c>
      <c r="H42" s="11" t="n">
        <v>0</v>
      </c>
      <c r="I42" s="11" t="n">
        <v>8</v>
      </c>
      <c r="J42" s="11" t="n">
        <v>20</v>
      </c>
      <c r="K42" s="12" t="inlineStr">
        <is>
          <t>405/0003-2565</t>
        </is>
      </c>
      <c r="L42" s="12" t="inlineStr">
        <is>
          <t>2022-08-28 00:00:00</t>
        </is>
      </c>
      <c r="M42" s="12" t="inlineStr">
        <is>
          <t>ค่าจอดรถ</t>
        </is>
      </c>
      <c r="N42" s="11" t="n">
        <v>100</v>
      </c>
    </row>
    <row r="43">
      <c r="A43" s="11" t="n">
        <v>406</v>
      </c>
      <c r="B43" s="12" t="inlineStr">
        <is>
          <t>นางสาวพนิตพร ไชยสุริยงค์</t>
        </is>
      </c>
      <c r="C43" s="12" t="inlineStr">
        <is>
          <t>17 ถ.สมเด็จเจ้าพระยา เขตคลองสาน กทม.</t>
        </is>
      </c>
      <c r="D43" s="11" t="inlineStr">
        <is>
          <t>065-2968016</t>
        </is>
      </c>
      <c r="E43" s="11" t="n">
        <v>4900</v>
      </c>
      <c r="F43" s="11" t="n">
        <v>0</v>
      </c>
      <c r="G43" s="11" t="n">
        <v>0</v>
      </c>
      <c r="H43" s="11" t="n">
        <v>0</v>
      </c>
      <c r="I43" s="11" t="n">
        <v>8</v>
      </c>
      <c r="J43" s="11" t="n">
        <v>20</v>
      </c>
      <c r="K43" s="12" t="inlineStr">
        <is>
          <t>406/0006-2566</t>
        </is>
      </c>
      <c r="L43" s="12" t="inlineStr">
        <is>
          <t>2023-08-01 00:00:00</t>
        </is>
      </c>
      <c r="M43" s="12" t="inlineStr">
        <is>
          <t>เช่าตู้เย็น</t>
        </is>
      </c>
      <c r="N43" s="11" t="n">
        <v>100</v>
      </c>
    </row>
    <row r="44">
      <c r="A44" s="11" t="n">
        <v>407</v>
      </c>
      <c r="B44" s="12" t="inlineStr">
        <is>
          <t>นายอนุสิษฐ์  ปีติเลิศวงศ์</t>
        </is>
      </c>
      <c r="C44" s="12" t="inlineStr">
        <is>
          <t>14/195 หมู่ที่ 2 ต.บ้านกลาง อ.เมืองปทุมธานี จ.ปทุมธานี</t>
        </is>
      </c>
      <c r="D44" s="11" t="inlineStr">
        <is>
          <t>092-8470965</t>
        </is>
      </c>
      <c r="E44" s="11" t="n">
        <v>5500</v>
      </c>
      <c r="F44" s="11" t="n">
        <v>0</v>
      </c>
      <c r="G44" s="11" t="n">
        <v>0</v>
      </c>
      <c r="H44" s="11" t="n">
        <v>0</v>
      </c>
      <c r="I44" s="11" t="n">
        <v>8</v>
      </c>
      <c r="J44" s="11" t="n">
        <v>20</v>
      </c>
      <c r="K44" s="12" t="inlineStr">
        <is>
          <t>407/0001-2569</t>
        </is>
      </c>
      <c r="L44" s="12" t="inlineStr">
        <is>
          <t>2026-01-05 00:00:00</t>
        </is>
      </c>
      <c r="M44" s="12" t="inlineStr"/>
      <c r="N44" s="11" t="n">
        <v>100</v>
      </c>
    </row>
    <row r="45">
      <c r="A45" s="11" t="n">
        <v>408</v>
      </c>
      <c r="B45" s="12" t="inlineStr">
        <is>
          <t>นางสาวสุรภา คุ้มถือทองสุข</t>
        </is>
      </c>
      <c r="C45" s="12" t="inlineStr">
        <is>
          <t>42/2 หมู่ที่ 4 ต.แม่จั๊วะ อ.เด่นชัย จ.แพร่</t>
        </is>
      </c>
      <c r="D45" s="11" t="inlineStr">
        <is>
          <t>096-2565189</t>
        </is>
      </c>
      <c r="E45" s="11" t="n">
        <v>5500</v>
      </c>
      <c r="F45" s="11" t="n">
        <v>0</v>
      </c>
      <c r="G45" s="11" t="n">
        <v>0</v>
      </c>
      <c r="H45" s="11" t="n">
        <v>0</v>
      </c>
      <c r="I45" s="11" t="n">
        <v>8</v>
      </c>
      <c r="J45" s="11" t="n">
        <v>20</v>
      </c>
      <c r="K45" s="12" t="inlineStr">
        <is>
          <t>408/0001-2569</t>
        </is>
      </c>
      <c r="L45" s="12" t="inlineStr">
        <is>
          <t>2026-02-19 00:00:00</t>
        </is>
      </c>
      <c r="M45" s="12" t="inlineStr"/>
      <c r="N45" s="11" t="n">
        <v>100</v>
      </c>
    </row>
    <row r="46">
      <c r="A46" s="11" t="n">
        <v>409</v>
      </c>
      <c r="B46" s="12" t="inlineStr">
        <is>
          <t>นางสาวณัฐพร ภู่ทรัพย์</t>
        </is>
      </c>
      <c r="C46" s="12" t="inlineStr">
        <is>
          <t>41 ต.บางเขน อ.เมือง จ.นนทบุรี</t>
        </is>
      </c>
      <c r="D46" s="11" t="inlineStr">
        <is>
          <t>091-7019968</t>
        </is>
      </c>
      <c r="E46" s="11" t="n">
        <v>4900</v>
      </c>
      <c r="F46" s="11" t="n">
        <v>0</v>
      </c>
      <c r="G46" s="11" t="n">
        <v>0</v>
      </c>
      <c r="H46" s="11" t="n">
        <v>0</v>
      </c>
      <c r="I46" s="11" t="n">
        <v>8</v>
      </c>
      <c r="J46" s="11" t="n">
        <v>20</v>
      </c>
      <c r="K46" s="12" t="inlineStr">
        <is>
          <t>409/0006-2567</t>
        </is>
      </c>
      <c r="L46" s="12" t="inlineStr">
        <is>
          <t>2024-06-30 00:00:00</t>
        </is>
      </c>
      <c r="M46" s="12" t="inlineStr">
        <is>
          <t>เช่าตุ้เย็น</t>
        </is>
      </c>
      <c r="N46" s="11" t="n">
        <v>100</v>
      </c>
    </row>
    <row r="47">
      <c r="A47" s="11" t="n">
        <v>410</v>
      </c>
      <c r="B47" s="12" t="inlineStr">
        <is>
          <t>นางสาวอรปรียา เพชรเนียม</t>
        </is>
      </c>
      <c r="C47" s="12" t="inlineStr">
        <is>
          <t>16/2 ซ.นนทบุรี 33 ต.ท่าทราย อ.เมองนนทบุรี จ.นนทบุรี</t>
        </is>
      </c>
      <c r="D47" s="11" t="inlineStr">
        <is>
          <t>095-9598436</t>
        </is>
      </c>
      <c r="E47" s="11" t="n">
        <v>5500</v>
      </c>
      <c r="F47" s="11" t="n">
        <v>0</v>
      </c>
      <c r="G47" s="11" t="n">
        <v>0</v>
      </c>
      <c r="H47" s="11" t="n">
        <v>0</v>
      </c>
      <c r="I47" s="11" t="n">
        <v>8</v>
      </c>
      <c r="J47" s="11" t="n">
        <v>20</v>
      </c>
      <c r="K47" s="12" t="inlineStr">
        <is>
          <t>410/0001-2569</t>
        </is>
      </c>
      <c r="L47" s="12" t="inlineStr">
        <is>
          <t>2026-03-30 00:00:00</t>
        </is>
      </c>
      <c r="M47" s="12" t="inlineStr"/>
      <c r="N47" s="11" t="n">
        <v>100</v>
      </c>
    </row>
    <row r="48">
      <c r="A48" s="11" t="n">
        <v>411</v>
      </c>
      <c r="B48" s="12" t="inlineStr">
        <is>
          <t>นางสาวจินตหรา จากกรุง</t>
        </is>
      </c>
      <c r="C48" s="12" t="inlineStr">
        <is>
          <t>15/7 หมู่ที่ 9 ต.เขาคีริส อ.พรานกระต่าย จ.กำแพงเพชร</t>
        </is>
      </c>
      <c r="D48" s="11" t="inlineStr">
        <is>
          <t>099-2890673</t>
        </is>
      </c>
      <c r="E48" s="11" t="n">
        <v>5500</v>
      </c>
      <c r="F48" s="11" t="n">
        <v>0</v>
      </c>
      <c r="G48" s="11" t="n">
        <v>0</v>
      </c>
      <c r="H48" s="11" t="n">
        <v>0</v>
      </c>
      <c r="I48" s="11" t="n">
        <v>8</v>
      </c>
      <c r="J48" s="11" t="n">
        <v>20</v>
      </c>
      <c r="K48" s="12" t="inlineStr">
        <is>
          <t>411/0001-2568</t>
        </is>
      </c>
      <c r="L48" s="12" t="inlineStr">
        <is>
          <t>2025-12-30 00:00:00</t>
        </is>
      </c>
      <c r="M48" s="12" t="inlineStr"/>
      <c r="N48" s="11" t="n">
        <v>100</v>
      </c>
    </row>
    <row r="49">
      <c r="A49" s="11" t="n">
        <v>412</v>
      </c>
      <c r="B49" s="12" t="inlineStr">
        <is>
          <t>นายสุทธิศักดิ์ ภู่เจริญยศ</t>
        </is>
      </c>
      <c r="C49" s="12" t="inlineStr">
        <is>
          <t>80/4 ม.6 ต.วังธง อ.เมือง จ.แพร่</t>
        </is>
      </c>
      <c r="D49" s="11" t="inlineStr">
        <is>
          <t>082-3841787</t>
        </is>
      </c>
      <c r="E49" s="11" t="n">
        <v>4900</v>
      </c>
      <c r="F49" s="11" t="n">
        <v>0</v>
      </c>
      <c r="G49" s="11" t="n">
        <v>0</v>
      </c>
      <c r="H49" s="11" t="n">
        <v>0</v>
      </c>
      <c r="I49" s="11" t="n">
        <v>8</v>
      </c>
      <c r="J49" s="11" t="n">
        <v>20</v>
      </c>
      <c r="K49" s="12" t="inlineStr">
        <is>
          <t>412/0006-2567</t>
        </is>
      </c>
      <c r="L49" s="12" t="inlineStr">
        <is>
          <t>2024-12-20 00:00:00</t>
        </is>
      </c>
      <c r="M49" s="12" t="inlineStr"/>
      <c r="N49" s="11" t="n">
        <v>100</v>
      </c>
    </row>
    <row r="50">
      <c r="A50" s="11" t="n">
        <v>413</v>
      </c>
      <c r="B50" s="12" t="inlineStr">
        <is>
          <t>นางสาวอุบลรัตน์ วงสาเคน</t>
        </is>
      </c>
      <c r="C50" s="12" t="inlineStr">
        <is>
          <t>85/2 หมู่ที่ 7 ต.เวินพระบาท อ.ท่าอุเทน จ.นครพนม</t>
        </is>
      </c>
      <c r="D50" s="11" t="inlineStr">
        <is>
          <t>064-0079917</t>
        </is>
      </c>
      <c r="E50" s="11" t="n">
        <v>4900</v>
      </c>
      <c r="F50" s="11" t="n">
        <v>0</v>
      </c>
      <c r="G50" s="11" t="n">
        <v>250</v>
      </c>
      <c r="H50" s="11" t="n">
        <v>50</v>
      </c>
      <c r="I50" s="11" t="n">
        <v>5</v>
      </c>
      <c r="J50" s="11" t="n">
        <v>15</v>
      </c>
      <c r="K50" s="12" t="inlineStr">
        <is>
          <t>413/0002-2565</t>
        </is>
      </c>
      <c r="L50" s="12" t="inlineStr">
        <is>
          <t>2024-12-21 00:00:00</t>
        </is>
      </c>
      <c r="M50" s="12" t="inlineStr"/>
      <c r="N50" s="11" t="n">
        <v>0</v>
      </c>
    </row>
    <row r="51">
      <c r="A51" s="11" t="n">
        <v>414</v>
      </c>
      <c r="B51" s="12" t="inlineStr">
        <is>
          <t>นางสาวเบญญาภา สุระกำแพง</t>
        </is>
      </c>
      <c r="C51" s="12" t="inlineStr">
        <is>
          <t>7/12 แขวงหัวหมาก เขตบางกะปิ กทม.</t>
        </is>
      </c>
      <c r="D51" s="11" t="inlineStr">
        <is>
          <t>065-8462153</t>
        </is>
      </c>
      <c r="E51" s="11" t="n">
        <v>4900</v>
      </c>
      <c r="F51" s="11" t="n">
        <v>0</v>
      </c>
      <c r="G51" s="11" t="n">
        <v>0</v>
      </c>
      <c r="H51" s="11" t="n">
        <v>0</v>
      </c>
      <c r="I51" s="11" t="n">
        <v>8</v>
      </c>
      <c r="J51" s="11" t="n">
        <v>20</v>
      </c>
      <c r="K51" s="12" t="inlineStr">
        <is>
          <t>414/0006-2567</t>
        </is>
      </c>
      <c r="L51" s="12" t="inlineStr">
        <is>
          <t>2024-06-27 00:00:00</t>
        </is>
      </c>
      <c r="M51" s="12" t="inlineStr"/>
      <c r="N51" s="11" t="n">
        <v>100</v>
      </c>
    </row>
    <row r="52">
      <c r="A52" s="11" t="n">
        <v>415</v>
      </c>
      <c r="B52" s="12" t="inlineStr">
        <is>
          <t>นางสาวจุฑามาศ คงทน</t>
        </is>
      </c>
      <c r="C52" s="12" t="inlineStr">
        <is>
          <t>8 หมู่ที่ 8 ต.สองห้อง อ.เมืองบุรีรัมย์ จงบุรีรัมย์</t>
        </is>
      </c>
      <c r="D52" s="11" t="inlineStr">
        <is>
          <t>083-0712172</t>
        </is>
      </c>
      <c r="E52" s="11" t="n">
        <v>5500</v>
      </c>
      <c r="F52" s="11" t="n">
        <v>0</v>
      </c>
      <c r="G52" s="11" t="n">
        <v>0</v>
      </c>
      <c r="H52" s="11" t="n">
        <v>0</v>
      </c>
      <c r="I52" s="11" t="n">
        <v>8</v>
      </c>
      <c r="J52" s="11" t="n">
        <v>20</v>
      </c>
      <c r="K52" s="12" t="inlineStr">
        <is>
          <t>415/000ต-2568</t>
        </is>
      </c>
      <c r="L52" s="12" t="inlineStr">
        <is>
          <t>2025-09-25 00:00:00</t>
        </is>
      </c>
      <c r="M52" s="12" t="inlineStr"/>
      <c r="N52" s="11" t="n">
        <v>100</v>
      </c>
    </row>
    <row r="53">
      <c r="A53" s="11" t="n">
        <v>416</v>
      </c>
      <c r="B53" s="12" t="inlineStr">
        <is>
          <t>นางสาวมาริสา อาชาฤทธิ์</t>
        </is>
      </c>
      <c r="C53" s="12" t="inlineStr">
        <is>
          <t>63/1 หมู่ที่ 8 ต.กะเปอร์ อ.กะเปอร์ จ.ระนอง</t>
        </is>
      </c>
      <c r="D53" s="11" t="inlineStr">
        <is>
          <t>098-514-9300</t>
        </is>
      </c>
      <c r="E53" s="11" t="n">
        <v>4900</v>
      </c>
      <c r="F53" s="11" t="n">
        <v>0</v>
      </c>
      <c r="G53" s="11" t="n">
        <v>0</v>
      </c>
      <c r="H53" s="11" t="n">
        <v>0</v>
      </c>
      <c r="I53" s="11" t="n">
        <v>8</v>
      </c>
      <c r="J53" s="11" t="n">
        <v>20</v>
      </c>
      <c r="K53" s="12" t="inlineStr">
        <is>
          <t>416/0002-2563</t>
        </is>
      </c>
      <c r="L53" s="12" t="inlineStr">
        <is>
          <t>2020-04-28 00:00:00</t>
        </is>
      </c>
      <c r="M53" s="12" t="inlineStr"/>
      <c r="N53" s="11" t="n">
        <v>100</v>
      </c>
    </row>
    <row r="54">
      <c r="A54" s="11" t="n">
        <v>417</v>
      </c>
      <c r="B54" s="12" t="inlineStr">
        <is>
          <t>คุณเชิดศักดิ์ ลิมปนะวรรณกูล</t>
        </is>
      </c>
      <c r="C54" s="12" t="inlineStr">
        <is>
          <t>33/2 หมู่ที่ 1 ต.บางแก้ว อ.เมือง จ.ฉะเชิงเทรา</t>
        </is>
      </c>
      <c r="D54" s="11" t="inlineStr">
        <is>
          <t>081-804-5954</t>
        </is>
      </c>
      <c r="E54" s="11" t="n">
        <v>4900</v>
      </c>
      <c r="F54" s="11" t="n">
        <v>0</v>
      </c>
      <c r="G54" s="11" t="n">
        <v>250</v>
      </c>
      <c r="H54" s="11" t="n">
        <v>50</v>
      </c>
      <c r="I54" s="11" t="n">
        <v>5</v>
      </c>
      <c r="J54" s="11" t="n">
        <v>15</v>
      </c>
      <c r="K54" s="12" t="inlineStr">
        <is>
          <t>417/0003-2561</t>
        </is>
      </c>
      <c r="L54" s="12" t="inlineStr">
        <is>
          <t>2018-10-14 00:00:00</t>
        </is>
      </c>
      <c r="M54" s="12" t="inlineStr"/>
      <c r="N54" s="11" t="n">
        <v>0</v>
      </c>
    </row>
    <row r="55">
      <c r="A55" s="11" t="n">
        <v>418</v>
      </c>
      <c r="B55" s="12" t="inlineStr">
        <is>
          <t>นางสาว อริสา ภูทองแน่น</t>
        </is>
      </c>
      <c r="C55" s="12" t="inlineStr">
        <is>
          <t>55 ซ.2 ต.บางแสนล่าง  อ.เมือง จ.ชลบุรี</t>
        </is>
      </c>
      <c r="D55" s="11" t="inlineStr">
        <is>
          <t>090-9869681</t>
        </is>
      </c>
      <c r="E55" s="11" t="n">
        <v>5500</v>
      </c>
      <c r="F55" s="11" t="n">
        <v>0</v>
      </c>
      <c r="G55" s="11" t="n">
        <v>0</v>
      </c>
      <c r="H55" s="11" t="n">
        <v>0</v>
      </c>
      <c r="I55" s="11" t="n">
        <v>8</v>
      </c>
      <c r="J55" s="11" t="n">
        <v>20</v>
      </c>
      <c r="K55" s="12" t="inlineStr">
        <is>
          <t>418/0006-2568</t>
        </is>
      </c>
      <c r="L55" s="12" t="inlineStr">
        <is>
          <t>2025-04-06 00:00:00</t>
        </is>
      </c>
      <c r="M55" s="12" t="inlineStr"/>
      <c r="N55" s="11" t="n">
        <v>100</v>
      </c>
    </row>
    <row r="56">
      <c r="A56" s="11" t="n">
        <v>501</v>
      </c>
      <c r="B56" s="12" t="inlineStr">
        <is>
          <t>นายวรายุทธ สุสิมานนท์</t>
        </is>
      </c>
      <c r="C56" s="12" t="inlineStr">
        <is>
          <t>1365/18 ถนนสามพระยา ต.ชะอำ อ.ชะอำ จ.เพชรบุรี</t>
        </is>
      </c>
      <c r="D56" s="11" t="inlineStr">
        <is>
          <t>091-8781740</t>
        </is>
      </c>
      <c r="E56" s="11" t="n">
        <v>5900</v>
      </c>
      <c r="F56" s="11" t="n">
        <v>0</v>
      </c>
      <c r="G56" s="11" t="n">
        <v>0</v>
      </c>
      <c r="H56" s="11" t="n">
        <v>0</v>
      </c>
      <c r="I56" s="11" t="n">
        <v>8</v>
      </c>
      <c r="J56" s="11" t="n">
        <v>20</v>
      </c>
      <c r="K56" s="12" t="inlineStr">
        <is>
          <t>501/0002-2568</t>
        </is>
      </c>
      <c r="L56" s="12" t="inlineStr">
        <is>
          <t>2025-12-27 00:00:00</t>
        </is>
      </c>
      <c r="M56" s="12" t="inlineStr"/>
      <c r="N56" s="11" t="n">
        <v>100</v>
      </c>
    </row>
    <row r="57">
      <c r="A57" s="11" t="n">
        <v>502</v>
      </c>
      <c r="B57" s="12" t="inlineStr">
        <is>
          <t>นายเจษฏาวุธ อ่อนลา</t>
        </is>
      </c>
      <c r="C57" s="12" t="inlineStr">
        <is>
          <t>137 ม.6 ต.สุขสวัสดิ์ อ.ไพรบึง จ.ศรีส้เกษ</t>
        </is>
      </c>
      <c r="D57" s="11" t="inlineStr">
        <is>
          <t>094-9966003</t>
        </is>
      </c>
      <c r="E57" s="11" t="n">
        <v>5900</v>
      </c>
      <c r="F57" s="11" t="n">
        <v>0</v>
      </c>
      <c r="G57" s="11" t="n">
        <v>0</v>
      </c>
      <c r="H57" s="11" t="n">
        <v>0</v>
      </c>
      <c r="I57" s="11" t="n">
        <v>8</v>
      </c>
      <c r="J57" s="11" t="n">
        <v>20</v>
      </c>
      <c r="K57" s="12" t="inlineStr">
        <is>
          <t>502/0002-2567</t>
        </is>
      </c>
      <c r="L57" s="12" t="inlineStr">
        <is>
          <t>2024-12-31 00:00:00</t>
        </is>
      </c>
      <c r="M57" s="12" t="inlineStr"/>
      <c r="N57" s="11" t="n">
        <v>100</v>
      </c>
    </row>
    <row r="58">
      <c r="A58" s="11" t="n">
        <v>503</v>
      </c>
      <c r="B58" s="12" t="inlineStr">
        <is>
          <t>นางสาวดารุณี ภูมิภักดิ์</t>
        </is>
      </c>
      <c r="C58" s="12" t="inlineStr">
        <is>
          <t>20/358 ซ.พหลโยธิน 54/1 ข.คลองถนน เขตสายไหม จ.กรุงเทพ</t>
        </is>
      </c>
      <c r="D58" s="11" t="inlineStr">
        <is>
          <t>062-5939691</t>
        </is>
      </c>
      <c r="E58" s="11" t="n">
        <v>5500</v>
      </c>
      <c r="F58" s="11" t="n">
        <v>0</v>
      </c>
      <c r="G58" s="11" t="n">
        <v>0</v>
      </c>
      <c r="H58" s="11" t="n">
        <v>0</v>
      </c>
      <c r="I58" s="11" t="n">
        <v>8</v>
      </c>
      <c r="J58" s="11" t="n">
        <v>20</v>
      </c>
      <c r="K58" s="12" t="inlineStr">
        <is>
          <t>503/001-2568</t>
        </is>
      </c>
      <c r="L58" s="12" t="inlineStr">
        <is>
          <t>2025-12-30 00:00:00</t>
        </is>
      </c>
      <c r="M58" s="12" t="inlineStr"/>
      <c r="N58" s="11" t="n">
        <v>100</v>
      </c>
    </row>
    <row r="59">
      <c r="A59" s="11" t="n">
        <v>504</v>
      </c>
      <c r="B59" s="12" t="inlineStr">
        <is>
          <t>นายไตรภพ ภูเบศภวนนท์</t>
        </is>
      </c>
      <c r="C59" s="12" t="inlineStr">
        <is>
          <t>888/54 ม.14 ต.วัดไทร อ.เมือง จ.นครวรรค์</t>
        </is>
      </c>
      <c r="D59" s="11" t="inlineStr">
        <is>
          <t>063-7352992</t>
        </is>
      </c>
      <c r="E59" s="11" t="n">
        <v>5500</v>
      </c>
      <c r="F59" s="11" t="n">
        <v>0</v>
      </c>
      <c r="G59" s="11" t="n">
        <v>0</v>
      </c>
      <c r="H59" s="11" t="n">
        <v>0</v>
      </c>
      <c r="I59" s="11" t="n">
        <v>8</v>
      </c>
      <c r="J59" s="11" t="n">
        <v>20</v>
      </c>
      <c r="K59" s="12" t="inlineStr">
        <is>
          <t>504/0004-2567</t>
        </is>
      </c>
      <c r="L59" s="12" t="inlineStr">
        <is>
          <t>2024-09-01 00:00:00</t>
        </is>
      </c>
      <c r="M59" s="12" t="inlineStr"/>
      <c r="N59" s="11" t="n">
        <v>100</v>
      </c>
    </row>
    <row r="60">
      <c r="A60" s="11" t="n">
        <v>505</v>
      </c>
      <c r="B60" s="12" t="inlineStr">
        <is>
          <t>นางสาวกาญจนา คุ้มวงษ์</t>
        </is>
      </c>
      <c r="C60" s="12" t="inlineStr">
        <is>
          <t>167/42 ม.3 ต.บางพูด อ.ปากเกร็ด จ.นนทบุรี</t>
        </is>
      </c>
      <c r="D60" s="11" t="inlineStr">
        <is>
          <t>098-5211183</t>
        </is>
      </c>
      <c r="E60" s="11" t="n">
        <v>4900</v>
      </c>
      <c r="F60" s="11" t="n">
        <v>0</v>
      </c>
      <c r="G60" s="11" t="n">
        <v>0</v>
      </c>
      <c r="H60" s="11" t="n">
        <v>0</v>
      </c>
      <c r="I60" s="11" t="n">
        <v>8</v>
      </c>
      <c r="J60" s="11" t="n">
        <v>20</v>
      </c>
      <c r="K60" s="12" t="inlineStr">
        <is>
          <t>505/0004-2566</t>
        </is>
      </c>
      <c r="L60" s="12" t="inlineStr">
        <is>
          <t>2023-10-29 00:00:00</t>
        </is>
      </c>
      <c r="M60" s="12" t="inlineStr"/>
      <c r="N60" s="11" t="n">
        <v>100</v>
      </c>
    </row>
    <row r="61">
      <c r="A61" s="11" t="n">
        <v>506</v>
      </c>
      <c r="B61" s="12" t="inlineStr">
        <is>
          <t>นายธีระพงษ์ ชินรัตน์</t>
        </is>
      </c>
      <c r="C61" s="12" t="inlineStr">
        <is>
          <t>81/18 หมู่ที่ 13 ต.โคกแย้ อ.หนองแค จ.สระบุรี</t>
        </is>
      </c>
      <c r="D61" s="11" t="inlineStr">
        <is>
          <t>086-3683656</t>
        </is>
      </c>
      <c r="E61" s="11" t="n">
        <v>5900</v>
      </c>
      <c r="F61" s="11" t="n">
        <v>0</v>
      </c>
      <c r="G61" s="11" t="n">
        <v>0</v>
      </c>
      <c r="H61" s="11" t="n">
        <v>0</v>
      </c>
      <c r="I61" s="11" t="n">
        <v>8</v>
      </c>
      <c r="J61" s="11" t="n">
        <v>20</v>
      </c>
      <c r="K61" s="12" t="inlineStr">
        <is>
          <t>506/0001-2569</t>
        </is>
      </c>
      <c r="L61" s="12" t="inlineStr">
        <is>
          <t>2026-01-29 00:00:00</t>
        </is>
      </c>
      <c r="M61" s="12" t="inlineStr"/>
      <c r="N61" s="11" t="n">
        <v>100</v>
      </c>
    </row>
    <row r="62">
      <c r="A62" s="11" t="n">
        <v>507</v>
      </c>
      <c r="B62" s="12" t="inlineStr">
        <is>
          <t>นางสาวสิตานันท์ ศิริวัฒน์</t>
        </is>
      </c>
      <c r="C62" s="12" t="inlineStr">
        <is>
          <t>214/1 หมู่ที่ 7 ต.วังกะพี้ อ.เมืองอุตรดิตถ์ จ.อุตรดิตถ์</t>
        </is>
      </c>
      <c r="D62" s="11" t="inlineStr">
        <is>
          <t>098-5979363</t>
        </is>
      </c>
      <c r="E62" s="11" t="n">
        <v>5900</v>
      </c>
      <c r="F62" s="11" t="n">
        <v>0</v>
      </c>
      <c r="G62" s="11" t="n">
        <v>0</v>
      </c>
      <c r="H62" s="11" t="n">
        <v>0</v>
      </c>
      <c r="I62" s="11" t="n">
        <v>8</v>
      </c>
      <c r="J62" s="11" t="n">
        <v>20</v>
      </c>
      <c r="K62" s="12" t="inlineStr">
        <is>
          <t>507/0001-2569</t>
        </is>
      </c>
      <c r="L62" s="12" t="inlineStr">
        <is>
          <t>2026-03-28 00:00:00</t>
        </is>
      </c>
      <c r="M62" s="12" t="inlineStr"/>
      <c r="N62" s="11" t="n">
        <v>100</v>
      </c>
    </row>
    <row r="63">
      <c r="A63" s="11" t="n">
        <v>508</v>
      </c>
      <c r="B63" s="12" t="inlineStr">
        <is>
          <t>นางสาวปุณยวีร์ มีแก้ว</t>
        </is>
      </c>
      <c r="C63" s="12" t="inlineStr">
        <is>
          <t>10/1 หมู่ที่ 3 ต.แม่เจ้าอยู่หัว อ.เชียรใหญ่ จ.นครศรีธรรมราช</t>
        </is>
      </c>
      <c r="D63" s="11" t="inlineStr">
        <is>
          <t>093-6255535</t>
        </is>
      </c>
      <c r="E63" s="11" t="n">
        <v>5900</v>
      </c>
      <c r="F63" s="11" t="n">
        <v>0</v>
      </c>
      <c r="G63" s="11" t="n">
        <v>0</v>
      </c>
      <c r="H63" s="11" t="n">
        <v>0</v>
      </c>
      <c r="I63" s="11" t="n">
        <v>8</v>
      </c>
      <c r="J63" s="11" t="n">
        <v>20</v>
      </c>
      <c r="K63" s="12" t="inlineStr">
        <is>
          <t>508/0001-2569</t>
        </is>
      </c>
      <c r="L63" s="12" t="inlineStr">
        <is>
          <t>2026-01-29 00:00:00</t>
        </is>
      </c>
      <c r="M63" s="12" t="inlineStr"/>
      <c r="N63" s="11" t="n">
        <v>100</v>
      </c>
    </row>
    <row r="64">
      <c r="A64" s="11" t="n">
        <v>509</v>
      </c>
      <c r="B64" s="12" t="inlineStr">
        <is>
          <t>นายอาทิตย์ อุ่นวิจิตร</t>
        </is>
      </c>
      <c r="C64" s="12" t="inlineStr">
        <is>
          <t>85 หมู่ที่ 1 ต.บ้านแหลม อ.บางปลาม้า จ.สุพรรณบุรี</t>
        </is>
      </c>
      <c r="D64" s="11" t="inlineStr">
        <is>
          <t>095-8057979</t>
        </is>
      </c>
      <c r="E64" s="11" t="n">
        <v>5900</v>
      </c>
      <c r="F64" s="11" t="n">
        <v>0</v>
      </c>
      <c r="G64" s="11" t="n">
        <v>0</v>
      </c>
      <c r="H64" s="11" t="n">
        <v>0</v>
      </c>
      <c r="I64" s="11" t="n">
        <v>8</v>
      </c>
      <c r="J64" s="11" t="n">
        <v>20</v>
      </c>
      <c r="K64" s="12" t="inlineStr">
        <is>
          <t>509/0001-2569</t>
        </is>
      </c>
      <c r="L64" s="12" t="inlineStr">
        <is>
          <t>2026-03-04 00:00:00</t>
        </is>
      </c>
      <c r="M64" s="12" t="inlineStr"/>
      <c r="N64" s="11" t="n">
        <v>100</v>
      </c>
    </row>
    <row r="65">
      <c r="A65" s="11" t="n">
        <v>510</v>
      </c>
      <c r="B65" s="12" t="inlineStr">
        <is>
          <t>นายสุชาติ แก้วเสริมศักดิ์</t>
        </is>
      </c>
      <c r="C65" s="12" t="inlineStr">
        <is>
          <t>44/189 แขวงบางค้อ เขตจอมทอง กทม.</t>
        </is>
      </c>
      <c r="D65" s="11" t="inlineStr">
        <is>
          <t>086-9981598</t>
        </is>
      </c>
      <c r="E65" s="11" t="n">
        <v>5300</v>
      </c>
      <c r="F65" s="11" t="n">
        <v>0</v>
      </c>
      <c r="G65" s="11" t="n">
        <v>0</v>
      </c>
      <c r="H65" s="11" t="n">
        <v>0</v>
      </c>
      <c r="I65" s="11" t="n">
        <v>8</v>
      </c>
      <c r="J65" s="11" t="n">
        <v>20</v>
      </c>
      <c r="K65" s="12" t="inlineStr">
        <is>
          <t>510/0002-2567</t>
        </is>
      </c>
      <c r="L65" s="12" t="inlineStr">
        <is>
          <t>2024-06-01 00:00:00</t>
        </is>
      </c>
      <c r="M65" s="12" t="inlineStr"/>
      <c r="N65" s="11" t="n">
        <v>100</v>
      </c>
    </row>
    <row r="66">
      <c r="A66" s="11" t="n">
        <v>511</v>
      </c>
      <c r="B66" s="12" t="inlineStr">
        <is>
          <t>กุ้ง หน้าร้าน</t>
        </is>
      </c>
      <c r="C66" s="12" t="inlineStr"/>
      <c r="D66" s="11" t="inlineStr"/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8</v>
      </c>
      <c r="J66" s="11" t="n">
        <v>20</v>
      </c>
      <c r="K66" s="12" t="inlineStr">
        <is>
          <t>511/0002-2566</t>
        </is>
      </c>
      <c r="L66" s="12" t="inlineStr">
        <is>
          <t>2023-10-10 00:00:00</t>
        </is>
      </c>
      <c r="M66" s="12" t="inlineStr"/>
      <c r="N66" s="11" t="n">
        <v>100</v>
      </c>
    </row>
    <row r="67">
      <c r="A67" s="11" t="n">
        <v>512</v>
      </c>
      <c r="B67" s="12" t="inlineStr">
        <is>
          <t>นายเกียรติไพบูลญ์ เทพภิบาล</t>
        </is>
      </c>
      <c r="C67" s="12" t="inlineStr">
        <is>
          <t>79 ม.9 ต.ธวัชบุรี อ.ธวัชบุรี จ.ร้อยเอ็ด</t>
        </is>
      </c>
      <c r="D67" s="11" t="inlineStr">
        <is>
          <t>094-5768718</t>
        </is>
      </c>
      <c r="E67" s="11" t="n">
        <v>5900</v>
      </c>
      <c r="F67" s="11" t="n">
        <v>0</v>
      </c>
      <c r="G67" s="11" t="n">
        <v>0</v>
      </c>
      <c r="H67" s="11" t="n">
        <v>0</v>
      </c>
      <c r="I67" s="11" t="n">
        <v>8</v>
      </c>
      <c r="J67" s="11" t="n">
        <v>20</v>
      </c>
      <c r="K67" s="12" t="inlineStr">
        <is>
          <t>505/0004-2568</t>
        </is>
      </c>
      <c r="L67" s="12" t="inlineStr">
        <is>
          <t>2025-07-19 00:00:00</t>
        </is>
      </c>
      <c r="M67" s="12" t="inlineStr"/>
      <c r="N67" s="11" t="n">
        <v>100</v>
      </c>
    </row>
    <row r="68">
      <c r="A68" s="11" t="n">
        <v>513</v>
      </c>
      <c r="B68" s="12" t="inlineStr">
        <is>
          <t>นางสาวกรชนก หาดกระโทก</t>
        </is>
      </c>
      <c r="C68" s="12" t="inlineStr">
        <is>
          <t>59/59 หมู่ที่ 5 ต.ท้ายบ้าน อ.เมืองสมุทรปราการ จ.สมุทรปราการ</t>
        </is>
      </c>
      <c r="D68" s="11" t="inlineStr">
        <is>
          <t>063-1529564</t>
        </is>
      </c>
      <c r="E68" s="11" t="n">
        <v>5900</v>
      </c>
      <c r="F68" s="11" t="n">
        <v>0</v>
      </c>
      <c r="G68" s="11" t="n">
        <v>0</v>
      </c>
      <c r="H68" s="11" t="n">
        <v>0</v>
      </c>
      <c r="I68" s="11" t="n">
        <v>8</v>
      </c>
      <c r="J68" s="11" t="n">
        <v>20</v>
      </c>
      <c r="K68" s="12" t="inlineStr">
        <is>
          <t>513/0001-2569</t>
        </is>
      </c>
      <c r="L68" s="12" t="inlineStr">
        <is>
          <t>2026-03-31 00:00:00</t>
        </is>
      </c>
      <c r="M68" s="12" t="inlineStr"/>
      <c r="N68" s="11" t="n">
        <v>100</v>
      </c>
    </row>
    <row r="69">
      <c r="A69" s="11" t="n">
        <v>514</v>
      </c>
      <c r="B69" s="12" t="inlineStr">
        <is>
          <t>นางสาวชลณิชา เมืองเหลา</t>
        </is>
      </c>
      <c r="C69" s="12" t="inlineStr">
        <is>
          <t>52/2 ม.3 ต.กุดจับ อ.กุดจีล จ.อุดรธานี</t>
        </is>
      </c>
      <c r="D69" s="11" t="inlineStr">
        <is>
          <t>062-2346190</t>
        </is>
      </c>
      <c r="E69" s="11" t="n">
        <v>5300</v>
      </c>
      <c r="F69" s="11" t="n">
        <v>0</v>
      </c>
      <c r="G69" s="11" t="n">
        <v>0</v>
      </c>
      <c r="H69" s="11" t="n">
        <v>0</v>
      </c>
      <c r="I69" s="11" t="n">
        <v>8</v>
      </c>
      <c r="J69" s="11" t="n">
        <v>20</v>
      </c>
      <c r="K69" s="12" t="inlineStr">
        <is>
          <t>514/0002-2567</t>
        </is>
      </c>
      <c r="L69" s="12" t="inlineStr">
        <is>
          <t>2024-06-01 00:00:00</t>
        </is>
      </c>
      <c r="M69" s="12" t="inlineStr">
        <is>
          <t>รอย้ายออก 31 พ.ค.69</t>
        </is>
      </c>
      <c r="N69" s="11" t="n">
        <v>100</v>
      </c>
    </row>
    <row r="70">
      <c r="A70" s="11" t="n">
        <v>515</v>
      </c>
      <c r="B70" s="12" t="inlineStr">
        <is>
          <t>นายวีรวัฒน์ แก้วชิงดวง</t>
        </is>
      </c>
      <c r="C70" s="12" t="inlineStr">
        <is>
          <t>8 ตรอกวัดมหาธาตุ ถ.นอก ต.คลองกระแชง อ.เมือง จ.เพชรบุรี</t>
        </is>
      </c>
      <c r="D70" s="11" t="inlineStr">
        <is>
          <t>094-6188087</t>
        </is>
      </c>
      <c r="E70" s="11" t="n">
        <v>5900</v>
      </c>
      <c r="F70" s="11" t="n">
        <v>0</v>
      </c>
      <c r="G70" s="11" t="n">
        <v>0</v>
      </c>
      <c r="H70" s="11" t="n">
        <v>0</v>
      </c>
      <c r="I70" s="11" t="n">
        <v>8</v>
      </c>
      <c r="J70" s="11" t="n">
        <v>20</v>
      </c>
      <c r="K70" s="12" t="inlineStr">
        <is>
          <t>515/0005-2568</t>
        </is>
      </c>
      <c r="L70" s="12" t="inlineStr">
        <is>
          <t>2025-09-26 00:00:00</t>
        </is>
      </c>
      <c r="M70" s="12" t="inlineStr"/>
      <c r="N70" s="11" t="n">
        <v>100</v>
      </c>
    </row>
    <row r="71">
      <c r="A71" s="11" t="n">
        <v>516</v>
      </c>
      <c r="B71" s="12" t="inlineStr">
        <is>
          <t>นางสาวจิราภรณ์ คำศรี</t>
        </is>
      </c>
      <c r="C71" s="12" t="inlineStr">
        <is>
          <t>28 ม.1 ต.เมืองทอง อ.เมือง จ.ราชบุรี</t>
        </is>
      </c>
      <c r="D71" s="11" t="inlineStr">
        <is>
          <t>081-1010032</t>
        </is>
      </c>
      <c r="E71" s="11" t="n">
        <v>5300</v>
      </c>
      <c r="F71" s="11" t="n">
        <v>0</v>
      </c>
      <c r="G71" s="11" t="n">
        <v>0</v>
      </c>
      <c r="H71" s="11" t="n">
        <v>0</v>
      </c>
      <c r="I71" s="11" t="n">
        <v>8</v>
      </c>
      <c r="J71" s="11" t="n">
        <v>20</v>
      </c>
      <c r="K71" s="12" t="inlineStr">
        <is>
          <t>516/0003-2566</t>
        </is>
      </c>
      <c r="L71" s="12" t="inlineStr">
        <is>
          <t>2023-11-02 00:00:00</t>
        </is>
      </c>
      <c r="M71" s="12" t="inlineStr"/>
      <c r="N71" s="11" t="n">
        <v>100</v>
      </c>
    </row>
    <row r="72">
      <c r="A72" s="11" t="n">
        <v>517</v>
      </c>
      <c r="B72" s="12" t="inlineStr">
        <is>
          <t>นายประสิทธิ์ เชื่อถิอ</t>
        </is>
      </c>
      <c r="C72" s="12" t="inlineStr">
        <is>
          <t>385 ถ.สมเด็จเจ้าพระยา เขตคลองสาน กทม.</t>
        </is>
      </c>
      <c r="D72" s="11" t="inlineStr">
        <is>
          <t>083-1545969</t>
        </is>
      </c>
      <c r="E72" s="11" t="n">
        <v>5900</v>
      </c>
      <c r="F72" s="11" t="n">
        <v>0</v>
      </c>
      <c r="G72" s="11" t="n">
        <v>0</v>
      </c>
      <c r="H72" s="11" t="n">
        <v>0</v>
      </c>
      <c r="I72" s="11" t="n">
        <v>8</v>
      </c>
      <c r="J72" s="11" t="n">
        <v>20</v>
      </c>
      <c r="K72" s="12" t="inlineStr">
        <is>
          <t>517/0004-2568</t>
        </is>
      </c>
      <c r="L72" s="12" t="inlineStr">
        <is>
          <t>2025-07-30 00:00:00</t>
        </is>
      </c>
      <c r="M72" s="12" t="inlineStr"/>
      <c r="N72" s="11" t="n">
        <v>100</v>
      </c>
    </row>
    <row r="73">
      <c r="A73" s="11" t="n">
        <v>518</v>
      </c>
      <c r="B73" s="12" t="inlineStr">
        <is>
          <t>นางสาวศิวพร รักษาสัตย์</t>
        </is>
      </c>
      <c r="C73" s="12" t="inlineStr">
        <is>
          <t>15/2 ม.8 ต.สะเดียง อ.เมือง จ.เพชรบูรณ์</t>
        </is>
      </c>
      <c r="D73" s="11" t="inlineStr">
        <is>
          <t>080-9153532</t>
        </is>
      </c>
      <c r="E73" s="11" t="n">
        <v>5900</v>
      </c>
      <c r="F73" s="11" t="n">
        <v>0</v>
      </c>
      <c r="G73" s="11" t="n">
        <v>0</v>
      </c>
      <c r="H73" s="11" t="n">
        <v>0</v>
      </c>
      <c r="I73" s="11" t="n">
        <v>8</v>
      </c>
      <c r="J73" s="11" t="n">
        <v>20</v>
      </c>
      <c r="K73" s="12" t="inlineStr">
        <is>
          <t>501-0004-2568</t>
        </is>
      </c>
      <c r="L73" s="12" t="inlineStr">
        <is>
          <t>2025-06-13 00:00:00</t>
        </is>
      </c>
      <c r="M73" s="12" t="inlineStr"/>
      <c r="N73" s="11" t="n">
        <v>100</v>
      </c>
    </row>
    <row r="74">
      <c r="A74" s="11" t="n">
        <v>601</v>
      </c>
      <c r="B74" s="12" t="inlineStr"/>
      <c r="C74" s="12" t="inlineStr"/>
      <c r="D74" s="11" t="inlineStr"/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8</v>
      </c>
      <c r="J74" s="11" t="n">
        <v>20</v>
      </c>
      <c r="K74" s="12" t="inlineStr"/>
      <c r="L74" s="12" t="inlineStr"/>
      <c r="M74" s="12" t="inlineStr"/>
      <c r="N74" s="11" t="n">
        <v>100</v>
      </c>
    </row>
    <row r="75">
      <c r="A75" s="11" t="n">
        <v>602</v>
      </c>
      <c r="B75" s="12" t="inlineStr">
        <is>
          <t>นายธีรกรณ์ อุ่นแก้ว</t>
        </is>
      </c>
      <c r="C75" s="12" t="inlineStr">
        <is>
          <t>113 หมู่ที่ 3 ต.ทุ่งเทิง อ.เดชอุดม จ.อุบลราชธานี</t>
        </is>
      </c>
      <c r="D75" s="11" t="inlineStr">
        <is>
          <t>085-8854083</t>
        </is>
      </c>
      <c r="E75" s="11" t="n">
        <v>5900</v>
      </c>
      <c r="F75" s="11" t="n">
        <v>0</v>
      </c>
      <c r="G75" s="11" t="n">
        <v>0</v>
      </c>
      <c r="H75" s="11" t="n">
        <v>0</v>
      </c>
      <c r="I75" s="11" t="n">
        <v>8</v>
      </c>
      <c r="J75" s="11" t="n">
        <v>20</v>
      </c>
      <c r="K75" s="12" t="inlineStr">
        <is>
          <t>602/0001-2569</t>
        </is>
      </c>
      <c r="L75" s="12" t="inlineStr">
        <is>
          <t>2026-01-30 00:00:00</t>
        </is>
      </c>
      <c r="M75" s="12" t="inlineStr"/>
      <c r="N75" s="11" t="n">
        <v>100</v>
      </c>
    </row>
    <row r="76">
      <c r="A76" s="11" t="n">
        <v>603</v>
      </c>
      <c r="B76" s="12" t="inlineStr">
        <is>
          <t>นางสาวมะลิ บุบผามาลัย</t>
        </is>
      </c>
      <c r="C76" s="12" t="inlineStr">
        <is>
          <t>27 หมู่ที่ 5 ต.บ้านกู่ อ.ยางสีสุราช จ.มหาสารคาม</t>
        </is>
      </c>
      <c r="D76" s="11" t="inlineStr">
        <is>
          <t>082-0322296</t>
        </is>
      </c>
      <c r="E76" s="11" t="n">
        <v>5900</v>
      </c>
      <c r="F76" s="11" t="n">
        <v>0</v>
      </c>
      <c r="G76" s="11" t="n">
        <v>0</v>
      </c>
      <c r="H76" s="11" t="n">
        <v>0</v>
      </c>
      <c r="I76" s="11" t="n">
        <v>8</v>
      </c>
      <c r="J76" s="11" t="n">
        <v>20</v>
      </c>
      <c r="K76" s="12" t="inlineStr">
        <is>
          <t>603/0005-2568</t>
        </is>
      </c>
      <c r="L76" s="12" t="inlineStr">
        <is>
          <t>2025-10-11 00:00:00</t>
        </is>
      </c>
      <c r="M76" s="12" t="inlineStr">
        <is>
          <t>มีตู้เย็น 1/11/68  รอย้ายออก 28 พ.ค.69</t>
        </is>
      </c>
      <c r="N76" s="11" t="n">
        <v>100</v>
      </c>
    </row>
    <row r="77">
      <c r="A77" s="11" t="n">
        <v>604</v>
      </c>
      <c r="B77" s="12" t="inlineStr"/>
      <c r="C77" s="12" t="inlineStr"/>
      <c r="D77" s="11" t="inlineStr"/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8</v>
      </c>
      <c r="J77" s="11" t="n">
        <v>20</v>
      </c>
      <c r="K77" s="12" t="inlineStr">
        <is>
          <t>604/0004-2568</t>
        </is>
      </c>
      <c r="L77" s="12" t="inlineStr"/>
      <c r="M77" s="12" t="inlineStr"/>
      <c r="N77" s="11" t="n">
        <v>100</v>
      </c>
    </row>
    <row r="78">
      <c r="A78" s="11" t="n">
        <v>605</v>
      </c>
      <c r="B78" s="12" t="inlineStr"/>
      <c r="C78" s="12" t="inlineStr"/>
      <c r="D78" s="11" t="inlineStr"/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8</v>
      </c>
      <c r="J78" s="11" t="n">
        <v>20</v>
      </c>
      <c r="K78" s="12" t="inlineStr">
        <is>
          <t>605/001-2569</t>
        </is>
      </c>
      <c r="L78" s="12" t="inlineStr"/>
      <c r="M78" s="12" t="inlineStr"/>
      <c r="N78" s="11" t="n">
        <v>100</v>
      </c>
    </row>
    <row r="79">
      <c r="A79" s="11" t="n">
        <v>606</v>
      </c>
      <c r="B79" s="12" t="inlineStr">
        <is>
          <t>นางสาวพิชิตา พวงแก้ว</t>
        </is>
      </c>
      <c r="C79" s="12" t="inlineStr">
        <is>
          <t>101/1 หมู่ที่ 1 ต.ไม้รูด ต.คลองใหญ่ จ.ตราด</t>
        </is>
      </c>
      <c r="D79" s="11" t="inlineStr">
        <is>
          <t>083-2542676</t>
        </is>
      </c>
      <c r="E79" s="11" t="n">
        <v>5900</v>
      </c>
      <c r="F79" s="11" t="n">
        <v>0</v>
      </c>
      <c r="G79" s="11" t="n">
        <v>0</v>
      </c>
      <c r="H79" s="11" t="n">
        <v>0</v>
      </c>
      <c r="I79" s="11" t="n">
        <v>8</v>
      </c>
      <c r="J79" s="11" t="n">
        <v>20</v>
      </c>
      <c r="K79" s="12" t="inlineStr">
        <is>
          <t>606/0005-2568</t>
        </is>
      </c>
      <c r="L79" s="12" t="inlineStr">
        <is>
          <t>2025-09-28 00:00:00</t>
        </is>
      </c>
      <c r="M79" s="12" t="inlineStr"/>
      <c r="N79" s="11" t="n">
        <v>100</v>
      </c>
    </row>
    <row r="80">
      <c r="A80" s="11" t="n">
        <v>607</v>
      </c>
      <c r="B80" s="12" t="inlineStr">
        <is>
          <t>นายอุกฤษกิ์ รอดอ่อน</t>
        </is>
      </c>
      <c r="C80" s="12" t="inlineStr">
        <is>
          <t>38/1 ม.4  ต.เกาะเปียะ อ.ย่านนาวา จ.ตรง</t>
        </is>
      </c>
      <c r="D80" s="11" t="inlineStr">
        <is>
          <t>0965-3176324</t>
        </is>
      </c>
      <c r="E80" s="11" t="n">
        <v>5900</v>
      </c>
      <c r="F80" s="11" t="n">
        <v>0</v>
      </c>
      <c r="G80" s="11" t="n">
        <v>0</v>
      </c>
      <c r="H80" s="11" t="n">
        <v>0</v>
      </c>
      <c r="I80" s="11" t="n">
        <v>8</v>
      </c>
      <c r="J80" s="11" t="n">
        <v>20</v>
      </c>
      <c r="K80" s="12" t="inlineStr">
        <is>
          <t>607/0003-2568</t>
        </is>
      </c>
      <c r="L80" s="12" t="inlineStr">
        <is>
          <t>2025-08-31 00:00:00</t>
        </is>
      </c>
      <c r="M80" s="12" t="inlineStr"/>
      <c r="N80" s="11" t="n">
        <v>100</v>
      </c>
    </row>
    <row r="81">
      <c r="A81" s="11" t="n">
        <v>608</v>
      </c>
      <c r="B81" s="12" t="inlineStr">
        <is>
          <t>นางสาวทิพย์วารี ทองเนตร</t>
        </is>
      </c>
      <c r="C81" s="12" t="inlineStr">
        <is>
          <t>109 ม.5 ต.กุดจอก อ.หนองมะโมง  จ.ชัยนาท</t>
        </is>
      </c>
      <c r="D81" s="11" t="inlineStr">
        <is>
          <t>097-1862683</t>
        </is>
      </c>
      <c r="E81" s="11" t="n">
        <v>5900</v>
      </c>
      <c r="F81" s="11" t="n">
        <v>0</v>
      </c>
      <c r="G81" s="11" t="n">
        <v>0</v>
      </c>
      <c r="H81" s="11" t="n">
        <v>0</v>
      </c>
      <c r="I81" s="11" t="n">
        <v>8</v>
      </c>
      <c r="J81" s="11" t="n">
        <v>20</v>
      </c>
      <c r="K81" s="12" t="inlineStr">
        <is>
          <t>608/0003-2568</t>
        </is>
      </c>
      <c r="L81" s="12" t="inlineStr">
        <is>
          <t>2025-07-31 00:00:00</t>
        </is>
      </c>
      <c r="M81" s="12" t="inlineStr">
        <is>
          <t>มีตู้เย็น 5/9/68</t>
        </is>
      </c>
      <c r="N81" s="11" t="n">
        <v>100</v>
      </c>
    </row>
    <row r="82">
      <c r="A82" s="11" t="n">
        <v>609</v>
      </c>
      <c r="B82" s="12" t="inlineStr">
        <is>
          <t>นางสาวณภัทรนภา รัตนกุญชร</t>
        </is>
      </c>
      <c r="C82" s="12" t="inlineStr">
        <is>
          <t>99 หมู่ที่ 1 ต.โสธร อ.เมืองฉะเชิงเทรา จ.ฉะเชิงเทรา</t>
        </is>
      </c>
      <c r="D82" s="11" t="inlineStr">
        <is>
          <t>093-3636947</t>
        </is>
      </c>
      <c r="E82" s="11" t="n">
        <v>5900</v>
      </c>
      <c r="F82" s="11" t="n">
        <v>0</v>
      </c>
      <c r="G82" s="11" t="n">
        <v>0</v>
      </c>
      <c r="H82" s="11" t="n">
        <v>0</v>
      </c>
      <c r="I82" s="11" t="n">
        <v>8</v>
      </c>
      <c r="J82" s="11" t="n">
        <v>20</v>
      </c>
      <c r="K82" s="12" t="inlineStr">
        <is>
          <t>609/0001-2569</t>
        </is>
      </c>
      <c r="L82" s="12" t="inlineStr">
        <is>
          <t>2026-01-04 00:00:00</t>
        </is>
      </c>
      <c r="M82" s="12" t="inlineStr"/>
      <c r="N82" s="11" t="n">
        <v>100</v>
      </c>
    </row>
    <row r="83">
      <c r="A83" s="11" t="n">
        <v>610</v>
      </c>
      <c r="B83" s="12" t="inlineStr">
        <is>
          <t>นางสาวประพิชญา มาลัย</t>
        </is>
      </c>
      <c r="C83" s="12" t="inlineStr">
        <is>
          <t>24 แขวงบางบอน อ.บางบอน จ.กรุงเทพ</t>
        </is>
      </c>
      <c r="D83" s="11" t="inlineStr">
        <is>
          <t>086-3975510</t>
        </is>
      </c>
      <c r="E83" s="11" t="n">
        <v>5900</v>
      </c>
      <c r="F83" s="11" t="n">
        <v>0</v>
      </c>
      <c r="G83" s="11" t="n">
        <v>0</v>
      </c>
      <c r="H83" s="11" t="n">
        <v>0</v>
      </c>
      <c r="I83" s="11" t="n">
        <v>8</v>
      </c>
      <c r="J83" s="11" t="n">
        <v>20</v>
      </c>
      <c r="K83" s="12" t="inlineStr">
        <is>
          <t>610/0002-2568</t>
        </is>
      </c>
      <c r="L83" s="12" t="inlineStr">
        <is>
          <t>2025-12-27 00:00:00</t>
        </is>
      </c>
      <c r="M83" s="12" t="inlineStr"/>
      <c r="N83" s="11" t="n">
        <v>100</v>
      </c>
    </row>
    <row r="84">
      <c r="A84" s="11" t="n">
        <v>611</v>
      </c>
      <c r="B84" s="12" t="inlineStr">
        <is>
          <t>นายทินมูล สันติชัยณรง</t>
        </is>
      </c>
      <c r="C84" s="12" t="inlineStr">
        <is>
          <t>622/10 ซ.เพิ่มสิน 20 แยก 5-3 ข.คลองถนน เขตสายไหม กรุงเทพมหานคร</t>
        </is>
      </c>
      <c r="D84" s="11" t="inlineStr">
        <is>
          <t>093-7096156</t>
        </is>
      </c>
      <c r="E84" s="11" t="n">
        <v>5900</v>
      </c>
      <c r="F84" s="11" t="n">
        <v>0</v>
      </c>
      <c r="G84" s="11" t="n">
        <v>0</v>
      </c>
      <c r="H84" s="11" t="n">
        <v>0</v>
      </c>
      <c r="I84" s="11" t="n">
        <v>8</v>
      </c>
      <c r="J84" s="11" t="n">
        <v>20</v>
      </c>
      <c r="K84" s="12" t="inlineStr">
        <is>
          <t>611/0001-2569</t>
        </is>
      </c>
      <c r="L84" s="12" t="inlineStr">
        <is>
          <t>2026-05-03 00:00:00</t>
        </is>
      </c>
      <c r="M84" s="12" t="inlineStr">
        <is>
          <t>ย้ายเข้า 3 พ.ค.69</t>
        </is>
      </c>
      <c r="N84" s="11" t="n">
        <v>100</v>
      </c>
    </row>
    <row r="85">
      <c r="A85" s="11" t="n">
        <v>612</v>
      </c>
      <c r="B85" s="12" t="inlineStr">
        <is>
          <t>นางสาวอริสา ลออ</t>
        </is>
      </c>
      <c r="C85" s="12" t="inlineStr">
        <is>
          <t>107/72 ม.10 ต.วัดไทร อ.เมือง จ.นครสวรรค์</t>
        </is>
      </c>
      <c r="D85" s="11" t="inlineStr">
        <is>
          <t>081-4499209</t>
        </is>
      </c>
      <c r="E85" s="11" t="n">
        <v>5500</v>
      </c>
      <c r="F85" s="11" t="n">
        <v>0</v>
      </c>
      <c r="G85" s="11" t="n">
        <v>0</v>
      </c>
      <c r="H85" s="11" t="n">
        <v>0</v>
      </c>
      <c r="I85" s="11" t="n">
        <v>8</v>
      </c>
      <c r="J85" s="11" t="n">
        <v>20</v>
      </c>
      <c r="K85" s="12" t="inlineStr">
        <is>
          <t>611/0003-2567</t>
        </is>
      </c>
      <c r="L85" s="12" t="inlineStr">
        <is>
          <t>2024-06-29 00:00:00</t>
        </is>
      </c>
      <c r="M85" s="12" t="inlineStr"/>
      <c r="N85" s="11" t="n">
        <v>100</v>
      </c>
    </row>
    <row r="86">
      <c r="A86" s="11" t="n">
        <v>613</v>
      </c>
      <c r="B86" s="12" t="inlineStr"/>
      <c r="C86" s="12" t="inlineStr"/>
      <c r="D86" s="11" t="inlineStr"/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8</v>
      </c>
      <c r="J86" s="11" t="n">
        <v>20</v>
      </c>
      <c r="K86" s="12" t="inlineStr">
        <is>
          <t>613/0003-2568</t>
        </is>
      </c>
      <c r="L86" s="12" t="inlineStr"/>
      <c r="M86" s="12" t="inlineStr"/>
      <c r="N86" s="11" t="n">
        <v>100</v>
      </c>
    </row>
    <row r="87">
      <c r="A87" s="11" t="n">
        <v>614</v>
      </c>
      <c r="B87" s="12" t="inlineStr">
        <is>
          <t>นายอรรถนนท์    อานนท์</t>
        </is>
      </c>
      <c r="C87" s="12" t="inlineStr">
        <is>
          <t>73ห1001 แขวงดุสิต เขตดุสิต กทม.</t>
        </is>
      </c>
      <c r="D87" s="11" t="inlineStr">
        <is>
          <t>094-1914101</t>
        </is>
      </c>
      <c r="E87" s="11" t="n">
        <v>5900</v>
      </c>
      <c r="F87" s="11" t="n">
        <v>0</v>
      </c>
      <c r="G87" s="11" t="n">
        <v>0</v>
      </c>
      <c r="H87" s="11" t="n">
        <v>0</v>
      </c>
      <c r="I87" s="11" t="n">
        <v>8</v>
      </c>
      <c r="J87" s="11" t="n">
        <v>20</v>
      </c>
      <c r="K87" s="12" t="inlineStr">
        <is>
          <t>614/0005-2568</t>
        </is>
      </c>
      <c r="L87" s="12" t="inlineStr">
        <is>
          <t>2025-07-05 00:00:00</t>
        </is>
      </c>
      <c r="M87" s="12" t="inlineStr"/>
      <c r="N87" s="11" t="n">
        <v>100</v>
      </c>
    </row>
    <row r="88">
      <c r="A88" s="11" t="n">
        <v>615</v>
      </c>
      <c r="B88" s="12" t="inlineStr"/>
      <c r="C88" s="12" t="inlineStr"/>
      <c r="D88" s="11" t="inlineStr"/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8</v>
      </c>
      <c r="J88" s="11" t="n">
        <v>20</v>
      </c>
      <c r="K88" s="12" t="inlineStr">
        <is>
          <t>615/0006-2568</t>
        </is>
      </c>
      <c r="L88" s="12" t="inlineStr"/>
      <c r="M88" s="12" t="inlineStr"/>
      <c r="N88" s="11" t="n">
        <v>100</v>
      </c>
    </row>
    <row r="89">
      <c r="A89" s="11" t="n">
        <v>616</v>
      </c>
      <c r="B89" s="12" t="inlineStr">
        <is>
          <t>นางสาวฟารีณีย์ สือนิ</t>
        </is>
      </c>
      <c r="C89" s="12" t="inlineStr">
        <is>
          <t>26/2 หมู่ที่ 1 ต.บาเระใต้ อ.บาเจาะ จ.นราธิวาส</t>
        </is>
      </c>
      <c r="D89" s="11" t="inlineStr">
        <is>
          <t>080-1450715</t>
        </is>
      </c>
      <c r="E89" s="11" t="n">
        <v>5900</v>
      </c>
      <c r="F89" s="11" t="n">
        <v>0</v>
      </c>
      <c r="G89" s="11" t="n">
        <v>0</v>
      </c>
      <c r="H89" s="11" t="n">
        <v>0</v>
      </c>
      <c r="I89" s="11" t="n">
        <v>8</v>
      </c>
      <c r="J89" s="11" t="n">
        <v>20</v>
      </c>
      <c r="K89" s="12" t="inlineStr">
        <is>
          <t>616/0004-2564</t>
        </is>
      </c>
      <c r="L89" s="12" t="inlineStr">
        <is>
          <t>2026-01-31 00:00:00</t>
        </is>
      </c>
      <c r="M89" s="12" t="inlineStr"/>
      <c r="N89" s="11" t="n">
        <v>100</v>
      </c>
    </row>
    <row r="90">
      <c r="A90" s="11" t="n">
        <v>617</v>
      </c>
      <c r="B90" s="12" t="inlineStr">
        <is>
          <t>นางสาวธัญญาลักษณ์ รุ่งเรื่อง</t>
        </is>
      </c>
      <c r="C90" s="12" t="inlineStr">
        <is>
          <t>367/1 ม.7 ต.ท่าขุนราม อ.เมือง จ..กำแพงเพชร</t>
        </is>
      </c>
      <c r="D90" s="11" t="inlineStr">
        <is>
          <t>082-5436456</t>
        </is>
      </c>
      <c r="E90" s="11" t="n">
        <v>5900</v>
      </c>
      <c r="F90" s="11" t="n">
        <v>0</v>
      </c>
      <c r="G90" s="11" t="n">
        <v>0</v>
      </c>
      <c r="H90" s="11" t="n">
        <v>0</v>
      </c>
      <c r="I90" s="11" t="n">
        <v>8</v>
      </c>
      <c r="J90" s="11" t="n">
        <v>20</v>
      </c>
      <c r="K90" s="12" t="inlineStr">
        <is>
          <t>617/0004-2568</t>
        </is>
      </c>
      <c r="L90" s="12" t="inlineStr">
        <is>
          <t>2025-07-07 00:00:00</t>
        </is>
      </c>
      <c r="M90" s="12" t="inlineStr">
        <is>
          <t>มีตู้เย็น  รอออก 31 พฤษภาคม</t>
        </is>
      </c>
      <c r="N90" s="11" t="n">
        <v>100</v>
      </c>
    </row>
    <row r="91">
      <c r="A91" s="11" t="n">
        <v>618</v>
      </c>
      <c r="B91" s="12" t="inlineStr">
        <is>
          <t>คุณมะลิวัลย์ บานเพชร</t>
        </is>
      </c>
      <c r="C91" s="12" t="inlineStr">
        <is>
          <t>13/2 หมู่ที่ 11 ต.คุ้มเก่า อ.เขาวง จ.กาฬสินทร์</t>
        </is>
      </c>
      <c r="D91" s="11" t="inlineStr">
        <is>
          <t>086-329-7415</t>
        </is>
      </c>
      <c r="E91" s="11" t="n">
        <v>4900</v>
      </c>
      <c r="F91" s="11" t="n">
        <v>0</v>
      </c>
      <c r="G91" s="11" t="n">
        <v>250</v>
      </c>
      <c r="H91" s="11" t="n">
        <v>50</v>
      </c>
      <c r="I91" s="11" t="n">
        <v>5</v>
      </c>
      <c r="J91" s="11" t="n">
        <v>15</v>
      </c>
      <c r="K91" s="12" t="inlineStr">
        <is>
          <t>618/0004-2566</t>
        </is>
      </c>
      <c r="L91" s="12" t="inlineStr">
        <is>
          <t>2023-02-01 00:00:00</t>
        </is>
      </c>
      <c r="M91" s="12" t="inlineStr"/>
      <c r="N91" s="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2026-05-27T10:10:19Z</dcterms:created>
  <dcterms:modified xsi:type="dcterms:W3CDTF">2026-05-27T10:10:19Z</dcterms:modified>
</cp:coreProperties>
</file>